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OneDrive\Desktop\Excel_Batch\"/>
    </mc:Choice>
  </mc:AlternateContent>
  <bookViews>
    <workbookView xWindow="0" yWindow="0" windowWidth="19200" windowHeight="7050"/>
  </bookViews>
  <sheets>
    <sheet name="Dashboard" sheetId="8" r:id="rId1"/>
    <sheet name="Price&amp;Dis by Category&amp;Region" sheetId="4" r:id="rId2"/>
    <sheet name="Units by months" sheetId="6" r:id="rId3"/>
    <sheet name="Dist by weather" sheetId="7" r:id="rId4"/>
    <sheet name="By Seasons" sheetId="9" r:id="rId5"/>
    <sheet name="Retail_Store_Inventory" sheetId="1" r:id="rId6"/>
  </sheets>
  <definedNames>
    <definedName name="NativeTimeline_Date">#N/A</definedName>
    <definedName name="Slicer_Category">#N/A</definedName>
    <definedName name="Slicer_Region">#N/A</definedName>
    <definedName name="Slicer_Seasonality">#N/A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4" i="1" l="1"/>
  <c r="V5" i="1"/>
  <c r="V6" i="1"/>
  <c r="V7" i="1"/>
  <c r="V8" i="1"/>
  <c r="V9" i="1"/>
  <c r="V10" i="1"/>
  <c r="V11" i="1"/>
  <c r="V12" i="1"/>
  <c r="V13" i="1"/>
  <c r="V14" i="1"/>
  <c r="V15" i="1"/>
  <c r="V3" i="1"/>
  <c r="U4" i="1"/>
  <c r="U5" i="1"/>
  <c r="U6" i="1"/>
  <c r="U7" i="1"/>
  <c r="U8" i="1"/>
  <c r="U9" i="1"/>
  <c r="U10" i="1"/>
  <c r="U11" i="1"/>
  <c r="U12" i="1"/>
  <c r="U13" i="1"/>
  <c r="U14" i="1"/>
  <c r="U15" i="1"/>
  <c r="U3" i="1"/>
  <c r="T4" i="1"/>
  <c r="T5" i="1"/>
  <c r="T6" i="1"/>
  <c r="T7" i="1"/>
  <c r="T8" i="1"/>
  <c r="T9" i="1"/>
  <c r="T10" i="1"/>
  <c r="T11" i="1"/>
  <c r="T12" i="1"/>
  <c r="T13" i="1"/>
  <c r="T14" i="1"/>
  <c r="T15" i="1"/>
  <c r="T3" i="1"/>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l="1"/>
  <c r="D46" i="1"/>
  <c r="I42" i="1"/>
  <c r="H42" i="1"/>
  <c r="G42" i="1"/>
  <c r="F46" i="1"/>
  <c r="F42" i="1"/>
  <c r="D42" i="1"/>
  <c r="B42" i="1"/>
  <c r="C42" i="1"/>
  <c r="O42" i="1"/>
</calcChain>
</file>

<file path=xl/sharedStrings.xml><?xml version="1.0" encoding="utf-8"?>
<sst xmlns="http://schemas.openxmlformats.org/spreadsheetml/2006/main" count="305" uniqueCount="67">
  <si>
    <t>Date</t>
  </si>
  <si>
    <t>Store ID</t>
  </si>
  <si>
    <t>Product ID</t>
  </si>
  <si>
    <t>Category</t>
  </si>
  <si>
    <t>Region</t>
  </si>
  <si>
    <t>Inventory Level</t>
  </si>
  <si>
    <t>Units Sold</t>
  </si>
  <si>
    <t>Units Ordered</t>
  </si>
  <si>
    <t>Demand Forecast</t>
  </si>
  <si>
    <t>Price</t>
  </si>
  <si>
    <t>Discount</t>
  </si>
  <si>
    <t>Weather Condition</t>
  </si>
  <si>
    <t>Holiday/Promotion</t>
  </si>
  <si>
    <t>Competitor Pricing</t>
  </si>
  <si>
    <t>Seasonality</t>
  </si>
  <si>
    <t>S001</t>
  </si>
  <si>
    <t>P0001</t>
  </si>
  <si>
    <t>Groceries</t>
  </si>
  <si>
    <t>North</t>
  </si>
  <si>
    <t>Rainy</t>
  </si>
  <si>
    <t>Autumn</t>
  </si>
  <si>
    <t>P0002</t>
  </si>
  <si>
    <t>Toys</t>
  </si>
  <si>
    <t>South</t>
  </si>
  <si>
    <t>Sunny</t>
  </si>
  <si>
    <t>P0003</t>
  </si>
  <si>
    <t>West</t>
  </si>
  <si>
    <t>Summer</t>
  </si>
  <si>
    <t>P0004</t>
  </si>
  <si>
    <t>Cloudy</t>
  </si>
  <si>
    <t>P0005</t>
  </si>
  <si>
    <t>Electronics</t>
  </si>
  <si>
    <t>East</t>
  </si>
  <si>
    <t>P0006</t>
  </si>
  <si>
    <t>Winter</t>
  </si>
  <si>
    <t>P0007</t>
  </si>
  <si>
    <t>Furniture</t>
  </si>
  <si>
    <t>P0008</t>
  </si>
  <si>
    <t>Clothing</t>
  </si>
  <si>
    <t>Spring</t>
  </si>
  <si>
    <t>P0009</t>
  </si>
  <si>
    <t>P0010</t>
  </si>
  <si>
    <t>P0011</t>
  </si>
  <si>
    <t>P0012</t>
  </si>
  <si>
    <t>Snowy</t>
  </si>
  <si>
    <t>P0013</t>
  </si>
  <si>
    <t>P0014</t>
  </si>
  <si>
    <t>P0015</t>
  </si>
  <si>
    <t>P0016</t>
  </si>
  <si>
    <t>P0017</t>
  </si>
  <si>
    <t>P0018</t>
  </si>
  <si>
    <t>P0019</t>
  </si>
  <si>
    <t>P0020</t>
  </si>
  <si>
    <t>S002</t>
  </si>
  <si>
    <t>Row Labels</t>
  </si>
  <si>
    <t>Grand Total</t>
  </si>
  <si>
    <t>Sum of Price</t>
  </si>
  <si>
    <t>Sum of Discount</t>
  </si>
  <si>
    <t>Total</t>
  </si>
  <si>
    <t>Column Labels</t>
  </si>
  <si>
    <t>Months</t>
  </si>
  <si>
    <t>January</t>
  </si>
  <si>
    <t>February</t>
  </si>
  <si>
    <t>Sum of Units Sold</t>
  </si>
  <si>
    <t>Sum of Units Ordered</t>
  </si>
  <si>
    <t>Count of Region</t>
  </si>
  <si>
    <t>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</si>
</sst>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entury Gothic"/>
      <family val="2"/>
      <scheme val="minor"/>
    </font>
    <font>
      <b/>
      <u/>
      <sz val="36"/>
      <color theme="1"/>
      <name val="Algerian"/>
      <family val="5"/>
    </font>
    <font>
      <b/>
      <u/>
      <sz val="36"/>
      <color theme="3"/>
      <name val="Algerian"/>
      <family val="5"/>
    </font>
    <font>
      <b/>
      <sz val="11"/>
      <color theme="1"/>
      <name val="Century Gothic"/>
      <family val="2"/>
      <scheme val="minor"/>
    </font>
  </fonts>
  <fills count="3">
    <fill>
      <patternFill patternType="none"/>
    </fill>
    <fill>
      <patternFill patternType="gray125"/>
    </fill>
    <fill>
      <patternFill patternType="solid">
        <fgColor theme="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2" xfId="0" applyBorder="1"/>
    <xf numFmtId="0" fontId="0" fillId="0" borderId="3" xfId="0" applyBorder="1"/>
    <xf numFmtId="0" fontId="0" fillId="0" borderId="4" xfId="0" applyBorder="1"/>
    <xf numFmtId="14" fontId="0" fillId="0" borderId="5" xfId="0" applyNumberFormat="1" applyBorder="1"/>
    <xf numFmtId="0" fontId="0" fillId="0" borderId="1" xfId="0" applyBorder="1"/>
    <xf numFmtId="0" fontId="0" fillId="0" borderId="6" xfId="0" applyBorder="1"/>
    <xf numFmtId="14" fontId="0" fillId="0" borderId="7" xfId="0" applyNumberFormat="1" applyBorder="1"/>
    <xf numFmtId="0" fontId="0" fillId="0" borderId="8" xfId="0" applyBorder="1"/>
    <xf numFmtId="0" fontId="0" fillId="0" borderId="9" xfId="0" applyBorder="1"/>
    <xf numFmtId="0" fontId="0" fillId="0" borderId="10" xfId="0" applyBorder="1"/>
    <xf numFmtId="0" fontId="3" fillId="0" borderId="0" xfId="0" applyFont="1" applyBorder="1"/>
    <xf numFmtId="0" fontId="0" fillId="0" borderId="0" xfId="0" applyBorder="1"/>
    <xf numFmtId="0" fontId="2" fillId="2" borderId="0" xfId="0" applyFont="1" applyFill="1" applyAlignment="1">
      <alignment horizontal="center" vertical="center"/>
    </xf>
    <xf numFmtId="0" fontId="1" fillId="2" borderId="0" xfId="0" applyFont="1" applyFill="1" applyAlignment="1">
      <alignment vertical="center"/>
    </xf>
    <xf numFmtId="0" fontId="0" fillId="2" borderId="0" xfId="0" applyFill="1"/>
  </cellXfs>
  <cellStyles count="1">
    <cellStyle name="Normal" xfId="0" builtinId="0"/>
  </cellStyles>
  <dxfs count="28">
    <dxf>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[Retail_Store_Inventory.xlsx]Price&amp;Dis by Category&amp;Region!PivotTable1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0" cap="none" spc="0">
                <a:ln w="0"/>
                <a:solidFill>
                  <a:schemeClr val="tx1"/>
                </a:solidFill>
                <a:effectLst>
                  <a:outerShdw blurRad="38100" dist="19050" dir="2700000" algn="tl" rotWithShape="0">
                    <a:schemeClr val="dk1">
                      <a:alpha val="40000"/>
                    </a:schemeClr>
                  </a:outerShdw>
                </a:effectLst>
              </a:rPr>
              <a:t>Price</a:t>
            </a:r>
            <a:r>
              <a:rPr lang="en-GB" sz="2000" b="0" cap="none" spc="0" baseline="0">
                <a:ln w="0"/>
                <a:solidFill>
                  <a:schemeClr val="tx1"/>
                </a:solidFill>
                <a:effectLst>
                  <a:outerShdw blurRad="38100" dist="19050" dir="2700000" algn="tl" rotWithShape="0">
                    <a:schemeClr val="dk1">
                      <a:alpha val="40000"/>
                    </a:schemeClr>
                  </a:outerShdw>
                </a:effectLst>
              </a:rPr>
              <a:t> &amp; Discount by Category and Region</a:t>
            </a:r>
          </a:p>
        </c:rich>
      </c:tx>
      <c:layout>
        <c:manualLayout>
          <c:xMode val="edge"/>
          <c:yMode val="edge"/>
          <c:x val="0.13807989597630574"/>
          <c:y val="2.0568072898432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'Price&amp;Dis by Category&amp;Region'!$B$3</c:f>
              <c:strCache>
                <c:ptCount val="1"/>
                <c:pt idx="0">
                  <c:v>Sum of Price</c:v>
                </c:pt>
              </c:strCache>
            </c:strRef>
          </c:tx>
          <c:spPr>
            <a:solidFill>
              <a:schemeClr val="accent1"/>
            </a:solidFill>
            <a:ln>
              <a:noFill/>
            </a:ln>
            <a:effectLst/>
            <a:sp3d/>
          </c:spPr>
          <c:invertIfNegative val="0"/>
          <c:cat>
            <c:multiLvlStrRef>
              <c:f>'Price&amp;Dis by Category&amp;Region'!$A$4:$A$8</c:f>
              <c:multiLvlStrCache>
                <c:ptCount val="3"/>
                <c:lvl>
                  <c:pt idx="0">
                    <c:v>East</c:v>
                  </c:pt>
                  <c:pt idx="1">
                    <c:v>North</c:v>
                  </c:pt>
                  <c:pt idx="2">
                    <c:v>South</c:v>
                  </c:pt>
                </c:lvl>
                <c:lvl>
                  <c:pt idx="0">
                    <c:v>Furniture</c:v>
                  </c:pt>
                </c:lvl>
              </c:multiLvlStrCache>
            </c:multiLvlStrRef>
          </c:cat>
          <c:val>
            <c:numRef>
              <c:f>'Price&amp;Dis by Category&amp;Region'!$B$4:$B$8</c:f>
              <c:numCache>
                <c:formatCode>General</c:formatCode>
                <c:ptCount val="3"/>
                <c:pt idx="0">
                  <c:v>54.62</c:v>
                </c:pt>
                <c:pt idx="1">
                  <c:v>85.59</c:v>
                </c:pt>
                <c:pt idx="2">
                  <c:v>58.53</c:v>
                </c:pt>
              </c:numCache>
            </c:numRef>
          </c:val>
          <c:extLst>
            <c:ext xmlns:c16="http://schemas.microsoft.com/office/drawing/2014/chart" uri="{C3380CC4-5D6E-409C-BE32-E72D297353CC}">
              <c16:uniqueId val="{00000000-1EEA-4066-BB32-B2E755D38E21}"/>
            </c:ext>
          </c:extLst>
        </c:ser>
        <c:ser>
          <c:idx val="1"/>
          <c:order val="1"/>
          <c:tx>
            <c:strRef>
              <c:f>'Price&amp;Dis by Category&amp;Region'!$C$3</c:f>
              <c:strCache>
                <c:ptCount val="1"/>
                <c:pt idx="0">
                  <c:v>Sum of Discount</c:v>
                </c:pt>
              </c:strCache>
            </c:strRef>
          </c:tx>
          <c:spPr>
            <a:solidFill>
              <a:schemeClr val="accent2"/>
            </a:solidFill>
            <a:ln>
              <a:noFill/>
            </a:ln>
            <a:effectLst/>
            <a:sp3d/>
          </c:spPr>
          <c:invertIfNegative val="0"/>
          <c:cat>
            <c:multiLvlStrRef>
              <c:f>'Price&amp;Dis by Category&amp;Region'!$A$4:$A$8</c:f>
              <c:multiLvlStrCache>
                <c:ptCount val="3"/>
                <c:lvl>
                  <c:pt idx="0">
                    <c:v>East</c:v>
                  </c:pt>
                  <c:pt idx="1">
                    <c:v>North</c:v>
                  </c:pt>
                  <c:pt idx="2">
                    <c:v>South</c:v>
                  </c:pt>
                </c:lvl>
                <c:lvl>
                  <c:pt idx="0">
                    <c:v>Furniture</c:v>
                  </c:pt>
                </c:lvl>
              </c:multiLvlStrCache>
            </c:multiLvlStrRef>
          </c:cat>
          <c:val>
            <c:numRef>
              <c:f>'Price&amp;Dis by Category&amp;Region'!$C$4:$C$8</c:f>
              <c:numCache>
                <c:formatCode>General</c:formatCode>
                <c:ptCount val="3"/>
                <c:pt idx="0">
                  <c:v>30</c:v>
                </c:pt>
                <c:pt idx="1">
                  <c:v>20</c:v>
                </c:pt>
                <c:pt idx="2">
                  <c:v>10</c:v>
                </c:pt>
              </c:numCache>
            </c:numRef>
          </c:val>
          <c:extLst>
            <c:ext xmlns:c16="http://schemas.microsoft.com/office/drawing/2014/chart" uri="{C3380CC4-5D6E-409C-BE32-E72D297353CC}">
              <c16:uniqueId val="{00000001-1EEA-4066-BB32-B2E755D38E21}"/>
            </c:ext>
          </c:extLst>
        </c:ser>
        <c:dLbls>
          <c:showLegendKey val="0"/>
          <c:showVal val="0"/>
          <c:showCatName val="0"/>
          <c:showSerName val="0"/>
          <c:showPercent val="0"/>
          <c:showBubbleSize val="0"/>
        </c:dLbls>
        <c:gapWidth val="150"/>
        <c:shape val="box"/>
        <c:axId val="353262408"/>
        <c:axId val="353258144"/>
        <c:axId val="0"/>
      </c:bar3DChart>
      <c:catAx>
        <c:axId val="353262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58144"/>
        <c:crosses val="autoZero"/>
        <c:auto val="1"/>
        <c:lblAlgn val="ctr"/>
        <c:lblOffset val="100"/>
        <c:noMultiLvlLbl val="0"/>
      </c:catAx>
      <c:valAx>
        <c:axId val="35325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62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[Retail_Store_Inventory.xlsx]Units by months!PivotTable1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0" cap="none" spc="0">
                <a:ln w="0"/>
                <a:solidFill>
                  <a:schemeClr val="tx1"/>
                </a:solidFill>
                <a:effectLst>
                  <a:outerShdw blurRad="38100" dist="19050" dir="2700000" algn="tl" rotWithShape="0">
                    <a:schemeClr val="dk1">
                      <a:alpha val="40000"/>
                    </a:schemeClr>
                  </a:outerShdw>
                </a:effectLst>
              </a:rPr>
              <a:t>Units</a:t>
            </a:r>
            <a:r>
              <a:rPr lang="en-GB" sz="2000" b="0" cap="none" spc="0" baseline="0">
                <a:ln w="0"/>
                <a:solidFill>
                  <a:schemeClr val="tx1"/>
                </a:solidFill>
                <a:effectLst>
                  <a:outerShdw blurRad="38100" dist="19050" dir="2700000" algn="tl" rotWithShape="0">
                    <a:schemeClr val="dk1">
                      <a:alpha val="40000"/>
                    </a:schemeClr>
                  </a:outerShdw>
                </a:effectLst>
              </a:rPr>
              <a:t> Orderes &amp; Sold each Month</a:t>
            </a:r>
            <a:endParaRPr lang="en-GB" sz="20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'Units by months'!$B$3</c:f>
              <c:strCache>
                <c:ptCount val="1"/>
                <c:pt idx="0">
                  <c:v>Sum of Units Ordered</c:v>
                </c:pt>
              </c:strCache>
            </c:strRef>
          </c:tx>
          <c:spPr>
            <a:ln w="28575" cap="rnd">
              <a:solidFill>
                <a:schemeClr val="accent1"/>
              </a:solidFill>
              <a:round/>
            </a:ln>
            <a:effectLst/>
          </c:spPr>
          <c:marker>
            <c:symbol val="none"/>
          </c:marker>
          <c:cat>
            <c:strRef>
              <c:f>'Units by months'!$A$4:$A$6</c:f>
              <c:strCache>
                <c:ptCount val="2"/>
                <c:pt idx="0">
                  <c:v>January</c:v>
                </c:pt>
                <c:pt idx="1">
                  <c:v>February</c:v>
                </c:pt>
              </c:strCache>
            </c:strRef>
          </c:cat>
          <c:val>
            <c:numRef>
              <c:f>'Units by months'!$B$4:$B$6</c:f>
              <c:numCache>
                <c:formatCode>General</c:formatCode>
                <c:ptCount val="2"/>
                <c:pt idx="0">
                  <c:v>320</c:v>
                </c:pt>
                <c:pt idx="1">
                  <c:v>287</c:v>
                </c:pt>
              </c:numCache>
            </c:numRef>
          </c:val>
          <c:smooth val="0"/>
          <c:extLst>
            <c:ext xmlns:c16="http://schemas.microsoft.com/office/drawing/2014/chart" uri="{C3380CC4-5D6E-409C-BE32-E72D297353CC}">
              <c16:uniqueId val="{00000000-580C-4C12-837C-D52DCD7F8848}"/>
            </c:ext>
          </c:extLst>
        </c:ser>
        <c:ser>
          <c:idx val="1"/>
          <c:order val="1"/>
          <c:tx>
            <c:strRef>
              <c:f>'Units by months'!$C$3</c:f>
              <c:strCache>
                <c:ptCount val="1"/>
                <c:pt idx="0">
                  <c:v>Sum of Units Sold</c:v>
                </c:pt>
              </c:strCache>
            </c:strRef>
          </c:tx>
          <c:spPr>
            <a:ln w="28575" cap="rnd">
              <a:solidFill>
                <a:schemeClr val="accent2"/>
              </a:solidFill>
              <a:round/>
            </a:ln>
            <a:effectLst/>
          </c:spPr>
          <c:marker>
            <c:symbol val="none"/>
          </c:marker>
          <c:cat>
            <c:strRef>
              <c:f>'Units by months'!$A$4:$A$6</c:f>
              <c:strCache>
                <c:ptCount val="2"/>
                <c:pt idx="0">
                  <c:v>January</c:v>
                </c:pt>
                <c:pt idx="1">
                  <c:v>February</c:v>
                </c:pt>
              </c:strCache>
            </c:strRef>
          </c:cat>
          <c:val>
            <c:numRef>
              <c:f>'Units by months'!$C$4:$C$6</c:f>
              <c:numCache>
                <c:formatCode>General</c:formatCode>
                <c:ptCount val="2"/>
                <c:pt idx="0">
                  <c:v>247</c:v>
                </c:pt>
                <c:pt idx="1">
                  <c:v>432</c:v>
                </c:pt>
              </c:numCache>
            </c:numRef>
          </c:val>
          <c:smooth val="0"/>
          <c:extLst>
            <c:ext xmlns:c16="http://schemas.microsoft.com/office/drawing/2014/chart" uri="{C3380CC4-5D6E-409C-BE32-E72D297353CC}">
              <c16:uniqueId val="{00000001-580C-4C12-837C-D52DCD7F8848}"/>
            </c:ext>
          </c:extLst>
        </c:ser>
        <c:dLbls>
          <c:showLegendKey val="0"/>
          <c:showVal val="0"/>
          <c:showCatName val="0"/>
          <c:showSerName val="0"/>
          <c:showPercent val="0"/>
          <c:showBubbleSize val="0"/>
        </c:dLbls>
        <c:smooth val="0"/>
        <c:axId val="422077800"/>
        <c:axId val="422076816"/>
      </c:lineChart>
      <c:catAx>
        <c:axId val="422077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6816"/>
        <c:crosses val="autoZero"/>
        <c:auto val="1"/>
        <c:lblAlgn val="ctr"/>
        <c:lblOffset val="100"/>
        <c:noMultiLvlLbl val="0"/>
      </c:catAx>
      <c:valAx>
        <c:axId val="42207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7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[Retail_Store_Inventory.xlsx]Dist by weather!PivotTable1</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rPr>
              <a:t>Distribution</a:t>
            </a:r>
            <a:r>
              <a:rPr lang="en-US" sz="2000" b="0" cap="none" spc="0" baseline="0">
                <a:ln w="0"/>
                <a:solidFill>
                  <a:schemeClr val="tx1"/>
                </a:solidFill>
                <a:effectLst>
                  <a:outerShdw blurRad="38100" dist="19050" dir="2700000" algn="tl" rotWithShape="0">
                    <a:schemeClr val="dk1">
                      <a:alpha val="40000"/>
                    </a:schemeClr>
                  </a:outerShdw>
                </a:effectLst>
              </a:rPr>
              <a:t> by Category&amp;Weather</a:t>
            </a:r>
            <a:endParaRPr lang="en-US" sz="2000"/>
          </a:p>
        </c:rich>
      </c:tx>
      <c:layout>
        <c:manualLayout>
          <c:xMode val="edge"/>
          <c:yMode val="edge"/>
          <c:x val="0.22398986845572094"/>
          <c:y val="1.388888888888888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008400202957926"/>
          <c:y val="0.27318642461359"/>
          <c:w val="0.4496227034120735"/>
          <c:h val="0.74937117235345585"/>
        </c:manualLayout>
      </c:layout>
      <c:pieChart>
        <c:varyColors val="1"/>
        <c:ser>
          <c:idx val="0"/>
          <c:order val="0"/>
          <c:tx>
            <c:strRef>
              <c:f>'Dist by weather'!$B$3:$B$4</c:f>
              <c:strCache>
                <c:ptCount val="1"/>
                <c:pt idx="0">
                  <c:v>Cloudy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B5-44D8-9930-B8A8F78B92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B5-44D8-9930-B8A8F78B92D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BB5-44D8-9930-B8A8F78B92D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BB5-44D8-9930-B8A8F78B92D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BB5-44D8-9930-B8A8F78B92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'Dist by weather'!$A$5:$A$6</c:f>
              <c:strCache>
                <c:ptCount val="1"/>
                <c:pt idx="0">
                  <c:v>Furniture</c:v>
                </c:pt>
              </c:strCache>
            </c:strRef>
          </c:cat>
          <c:val>
            <c:numRef>
              <c:f>'Dist by weather'!$B$5:$B$6</c:f>
              <c:numCache>
                <c:formatCode>General</c:formatCode>
                <c:ptCount val="1"/>
                <c:pt idx="0">
                  <c:v>1</c:v>
                </c:pt>
              </c:numCache>
            </c:numRef>
          </c:val>
          <c:extLst>
            <c:ext xmlns:c16="http://schemas.microsoft.com/office/drawing/2014/chart" uri="{C3380CC4-5D6E-409C-BE32-E72D297353CC}">
              <c16:uniqueId val="{0000000A-5BB5-44D8-9930-B8A8F78B92D0}"/>
            </c:ext>
          </c:extLst>
        </c:ser>
        <c:ser>
          <c:idx val="1"/>
          <c:order val="1"/>
          <c:tx>
            <c:strRef>
              <c:f>'Dist by weather'!$C$3:$C$4</c:f>
              <c:strCache>
                <c:ptCount val="1"/>
                <c:pt idx="0">
                  <c:v>Rainy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413-4CFA-8C12-2E8326E320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413-4CFA-8C12-2E8326E3207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C413-4CFA-8C12-2E8326E3207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C413-4CFA-8C12-2E8326E3207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C413-4CFA-8C12-2E8326E320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 by weather'!$A$5:$A$6</c:f>
              <c:strCache>
                <c:ptCount val="1"/>
                <c:pt idx="0">
                  <c:v>Furniture</c:v>
                </c:pt>
              </c:strCache>
            </c:strRef>
          </c:cat>
          <c:val>
            <c:numRef>
              <c:f>'Dist by weather'!$C$5:$C$6</c:f>
              <c:numCache>
                <c:formatCode>General</c:formatCode>
                <c:ptCount val="1"/>
                <c:pt idx="0">
                  <c:v>1</c:v>
                </c:pt>
              </c:numCache>
            </c:numRef>
          </c:val>
          <c:extLst>
            <c:ext xmlns:c16="http://schemas.microsoft.com/office/drawing/2014/chart" uri="{C3380CC4-5D6E-409C-BE32-E72D297353CC}">
              <c16:uniqueId val="{0000002C-5BB5-44D8-9930-B8A8F78B92D0}"/>
            </c:ext>
          </c:extLst>
        </c:ser>
        <c:ser>
          <c:idx val="2"/>
          <c:order val="2"/>
          <c:tx>
            <c:strRef>
              <c:f>'Dist by weather'!$D$3:$D$4</c:f>
              <c:strCache>
                <c:ptCount val="1"/>
                <c:pt idx="0">
                  <c:v>Snowy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C413-4CFA-8C12-2E8326E320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C413-4CFA-8C12-2E8326E3207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C413-4CFA-8C12-2E8326E3207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C413-4CFA-8C12-2E8326E3207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C413-4CFA-8C12-2E8326E320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 by weather'!$A$5:$A$6</c:f>
              <c:strCache>
                <c:ptCount val="1"/>
                <c:pt idx="0">
                  <c:v>Furniture</c:v>
                </c:pt>
              </c:strCache>
            </c:strRef>
          </c:cat>
          <c:val>
            <c:numRef>
              <c:f>'Dist by weather'!$D$5:$D$6</c:f>
              <c:numCache>
                <c:formatCode>General</c:formatCode>
                <c:ptCount val="1"/>
                <c:pt idx="0">
                  <c:v>1</c:v>
                </c:pt>
              </c:numCache>
            </c:numRef>
          </c:val>
          <c:extLst>
            <c:ext xmlns:c16="http://schemas.microsoft.com/office/drawing/2014/chart" uri="{C3380CC4-5D6E-409C-BE32-E72D297353CC}">
              <c16:uniqueId val="{0000002D-5BB5-44D8-9930-B8A8F78B92D0}"/>
            </c:ext>
          </c:extLst>
        </c:ser>
        <c:ser>
          <c:idx val="3"/>
          <c:order val="3"/>
          <c:tx>
            <c:strRef>
              <c:f>'Dist by weather'!$E$3:$E$4</c:f>
              <c:strCache>
                <c:ptCount val="1"/>
                <c:pt idx="0">
                  <c:v>Sunny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C413-4CFA-8C12-2E8326E320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C413-4CFA-8C12-2E8326E3207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C413-4CFA-8C12-2E8326E3207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C413-4CFA-8C12-2E8326E3207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C413-4CFA-8C12-2E8326E320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 by weather'!$A$5:$A$6</c:f>
              <c:strCache>
                <c:ptCount val="1"/>
                <c:pt idx="0">
                  <c:v>Furniture</c:v>
                </c:pt>
              </c:strCache>
            </c:strRef>
          </c:cat>
          <c:val>
            <c:numRef>
              <c:f>'Dist by weather'!$E$5:$E$6</c:f>
              <c:numCache>
                <c:formatCode>General</c:formatCode>
                <c:ptCount val="1"/>
                <c:pt idx="0">
                  <c:v>1</c:v>
                </c:pt>
              </c:numCache>
            </c:numRef>
          </c:val>
          <c:extLst>
            <c:ext xmlns:c16="http://schemas.microsoft.com/office/drawing/2014/chart" uri="{C3380CC4-5D6E-409C-BE32-E72D297353CC}">
              <c16:uniqueId val="{0000002E-5BB5-44D8-9930-B8A8F78B92D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[Retail_Store_Inventory.xlsx]By Seasons!PivotTable1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∑Price Category by </a:t>
            </a:r>
            <a:r>
              <a:rPr lang="en-US" sz="2000" b="0" cap="none" spc="0">
                <a:ln w="0"/>
                <a:solidFill>
                  <a:schemeClr val="tx1"/>
                </a:solidFill>
                <a:effectLst>
                  <a:outerShdw blurRad="38100" dist="19050" dir="2700000" algn="tl" rotWithShape="0">
                    <a:schemeClr val="dk1">
                      <a:alpha val="40000"/>
                    </a:schemeClr>
                  </a:outerShdw>
                </a:effectLst>
              </a:rPr>
              <a:t>Seasons</a:t>
            </a:r>
            <a:endParaRPr lang="en-US" sz="2000"/>
          </a:p>
        </c:rich>
      </c:tx>
      <c:layout/>
      <c:overlay val="0"/>
      <c:spPr>
        <a:solidFill>
          <a:sysClr val="window" lastClr="FFFFFF"/>
        </a:solidFill>
        <a:ln>
          <a:solidFill>
            <a:sysClr val="windowText" lastClr="000000">
              <a:lumMod val="25000"/>
              <a:lumOff val="75000"/>
            </a:sys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'By Seasons'!$B$3</c:f>
              <c:strCache>
                <c:ptCount val="1"/>
                <c:pt idx="0">
                  <c:v>Total</c:v>
                </c:pt>
              </c:strCache>
            </c:strRef>
          </c:tx>
          <c:spPr>
            <a:solidFill>
              <a:schemeClr val="accent1"/>
            </a:solidFill>
            <a:ln>
              <a:noFill/>
            </a:ln>
            <a:effectLst/>
          </c:spPr>
          <c:invertIfNegative val="0"/>
          <c:cat>
            <c:multiLvlStrRef>
              <c:f>'By Seasons'!$A$4:$A$7</c:f>
              <c:multiLvlStrCache>
                <c:ptCount val="2"/>
                <c:lvl>
                  <c:pt idx="0">
                    <c:v>Spring</c:v>
                  </c:pt>
                  <c:pt idx="1">
                    <c:v>Winter</c:v>
                  </c:pt>
                </c:lvl>
                <c:lvl>
                  <c:pt idx="0">
                    <c:v>Furniture</c:v>
                  </c:pt>
                </c:lvl>
              </c:multiLvlStrCache>
            </c:multiLvlStrRef>
          </c:cat>
          <c:val>
            <c:numRef>
              <c:f>'By Seasons'!$B$4:$B$7</c:f>
              <c:numCache>
                <c:formatCode>General</c:formatCode>
                <c:ptCount val="2"/>
                <c:pt idx="0">
                  <c:v>78.990000000000009</c:v>
                </c:pt>
                <c:pt idx="1">
                  <c:v>119.75</c:v>
                </c:pt>
              </c:numCache>
            </c:numRef>
          </c:val>
          <c:extLst>
            <c:ext xmlns:c16="http://schemas.microsoft.com/office/drawing/2014/chart" uri="{C3380CC4-5D6E-409C-BE32-E72D297353CC}">
              <c16:uniqueId val="{00000000-5546-47E9-AD56-81555E1482BD}"/>
            </c:ext>
          </c:extLst>
        </c:ser>
        <c:dLbls>
          <c:showLegendKey val="0"/>
          <c:showVal val="0"/>
          <c:showCatName val="0"/>
          <c:showSerName val="0"/>
          <c:showPercent val="0"/>
          <c:showBubbleSize val="0"/>
        </c:dLbls>
        <c:gapWidth val="219"/>
        <c:overlap val="-27"/>
        <c:axId val="572265080"/>
        <c:axId val="572261800"/>
      </c:barChart>
      <c:catAx>
        <c:axId val="57226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1800"/>
        <c:crosses val="autoZero"/>
        <c:auto val="1"/>
        <c:lblAlgn val="ctr"/>
        <c:lblOffset val="100"/>
        <c:noMultiLvlLbl val="0"/>
      </c:catAx>
      <c:valAx>
        <c:axId val="572261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5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[Retail_Store_Inventory.xlsx]Price&amp;Dis by Category&amp;Region!PivotTable1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0" cap="none" spc="0">
                <a:ln w="0"/>
                <a:solidFill>
                  <a:schemeClr val="tx1"/>
                </a:solidFill>
                <a:effectLst>
                  <a:outerShdw blurRad="38100" dist="19050" dir="2700000" algn="tl" rotWithShape="0">
                    <a:schemeClr val="dk1">
                      <a:alpha val="40000"/>
                    </a:schemeClr>
                  </a:outerShdw>
                </a:effectLst>
              </a:rPr>
              <a:t>Price</a:t>
            </a:r>
            <a:r>
              <a:rPr lang="en-GB" sz="2000" b="0" cap="none" spc="0" baseline="0">
                <a:ln w="0"/>
                <a:solidFill>
                  <a:schemeClr val="tx1"/>
                </a:solidFill>
                <a:effectLst>
                  <a:outerShdw blurRad="38100" dist="19050" dir="2700000" algn="tl" rotWithShape="0">
                    <a:schemeClr val="dk1">
                      <a:alpha val="40000"/>
                    </a:schemeClr>
                  </a:outerShdw>
                </a:effectLst>
              </a:rPr>
              <a:t> &amp; Discount by Category and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'Price&amp;Dis by Category&amp;Region'!$B$3</c:f>
              <c:strCache>
                <c:ptCount val="1"/>
                <c:pt idx="0">
                  <c:v>Sum of Price</c:v>
                </c:pt>
              </c:strCache>
            </c:strRef>
          </c:tx>
          <c:spPr>
            <a:solidFill>
              <a:schemeClr val="accent1"/>
            </a:solidFill>
            <a:ln>
              <a:noFill/>
            </a:ln>
            <a:effectLst/>
            <a:sp3d/>
          </c:spPr>
          <c:invertIfNegative val="0"/>
          <c:cat>
            <c:multiLvlStrRef>
              <c:f>'Price&amp;Dis by Category&amp;Region'!$A$4:$A$8</c:f>
              <c:multiLvlStrCache>
                <c:ptCount val="3"/>
                <c:lvl>
                  <c:pt idx="0">
                    <c:v>East</c:v>
                  </c:pt>
                  <c:pt idx="1">
                    <c:v>North</c:v>
                  </c:pt>
                  <c:pt idx="2">
                    <c:v>South</c:v>
                  </c:pt>
                </c:lvl>
                <c:lvl>
                  <c:pt idx="0">
                    <c:v>Furniture</c:v>
                  </c:pt>
                </c:lvl>
              </c:multiLvlStrCache>
            </c:multiLvlStrRef>
          </c:cat>
          <c:val>
            <c:numRef>
              <c:f>'Price&amp;Dis by Category&amp;Region'!$B$4:$B$8</c:f>
              <c:numCache>
                <c:formatCode>General</c:formatCode>
                <c:ptCount val="3"/>
                <c:pt idx="0">
                  <c:v>54.62</c:v>
                </c:pt>
                <c:pt idx="1">
                  <c:v>85.59</c:v>
                </c:pt>
                <c:pt idx="2">
                  <c:v>58.53</c:v>
                </c:pt>
              </c:numCache>
            </c:numRef>
          </c:val>
          <c:extLst>
            <c:ext xmlns:c16="http://schemas.microsoft.com/office/drawing/2014/chart" uri="{C3380CC4-5D6E-409C-BE32-E72D297353CC}">
              <c16:uniqueId val="{00000000-2952-4F6B-B509-B90F7303D113}"/>
            </c:ext>
          </c:extLst>
        </c:ser>
        <c:ser>
          <c:idx val="1"/>
          <c:order val="1"/>
          <c:tx>
            <c:strRef>
              <c:f>'Price&amp;Dis by Category&amp;Region'!$C$3</c:f>
              <c:strCache>
                <c:ptCount val="1"/>
                <c:pt idx="0">
                  <c:v>Sum of Discount</c:v>
                </c:pt>
              </c:strCache>
            </c:strRef>
          </c:tx>
          <c:spPr>
            <a:solidFill>
              <a:schemeClr val="accent2"/>
            </a:solidFill>
            <a:ln>
              <a:noFill/>
            </a:ln>
            <a:effectLst/>
            <a:sp3d/>
          </c:spPr>
          <c:invertIfNegative val="0"/>
          <c:cat>
            <c:multiLvlStrRef>
              <c:f>'Price&amp;Dis by Category&amp;Region'!$A$4:$A$8</c:f>
              <c:multiLvlStrCache>
                <c:ptCount val="3"/>
                <c:lvl>
                  <c:pt idx="0">
                    <c:v>East</c:v>
                  </c:pt>
                  <c:pt idx="1">
                    <c:v>North</c:v>
                  </c:pt>
                  <c:pt idx="2">
                    <c:v>South</c:v>
                  </c:pt>
                </c:lvl>
                <c:lvl>
                  <c:pt idx="0">
                    <c:v>Furniture</c:v>
                  </c:pt>
                </c:lvl>
              </c:multiLvlStrCache>
            </c:multiLvlStrRef>
          </c:cat>
          <c:val>
            <c:numRef>
              <c:f>'Price&amp;Dis by Category&amp;Region'!$C$4:$C$8</c:f>
              <c:numCache>
                <c:formatCode>General</c:formatCode>
                <c:ptCount val="3"/>
                <c:pt idx="0">
                  <c:v>30</c:v>
                </c:pt>
                <c:pt idx="1">
                  <c:v>20</c:v>
                </c:pt>
                <c:pt idx="2">
                  <c:v>10</c:v>
                </c:pt>
              </c:numCache>
            </c:numRef>
          </c:val>
          <c:extLst>
            <c:ext xmlns:c16="http://schemas.microsoft.com/office/drawing/2014/chart" uri="{C3380CC4-5D6E-409C-BE32-E72D297353CC}">
              <c16:uniqueId val="{00000001-2952-4F6B-B509-B90F7303D113}"/>
            </c:ext>
          </c:extLst>
        </c:ser>
        <c:dLbls>
          <c:showLegendKey val="0"/>
          <c:showVal val="0"/>
          <c:showCatName val="0"/>
          <c:showSerName val="0"/>
          <c:showPercent val="0"/>
          <c:showBubbleSize val="0"/>
        </c:dLbls>
        <c:gapWidth val="150"/>
        <c:shape val="box"/>
        <c:axId val="353262408"/>
        <c:axId val="353258144"/>
        <c:axId val="0"/>
      </c:bar3DChart>
      <c:catAx>
        <c:axId val="353262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58144"/>
        <c:crosses val="autoZero"/>
        <c:auto val="1"/>
        <c:lblAlgn val="ctr"/>
        <c:lblOffset val="100"/>
        <c:noMultiLvlLbl val="0"/>
      </c:catAx>
      <c:valAx>
        <c:axId val="35325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62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[Retail_Store_Inventory.xlsx]Units by months!PivotTable1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0" cap="none" spc="0">
                <a:ln w="0"/>
                <a:solidFill>
                  <a:schemeClr val="tx1"/>
                </a:solidFill>
                <a:effectLst>
                  <a:outerShdw blurRad="38100" dist="19050" dir="2700000" algn="tl" rotWithShape="0">
                    <a:schemeClr val="dk1">
                      <a:alpha val="40000"/>
                    </a:schemeClr>
                  </a:outerShdw>
                </a:effectLst>
              </a:rPr>
              <a:t>Units</a:t>
            </a:r>
            <a:r>
              <a:rPr lang="en-GB" sz="2000" b="0" cap="none" spc="0" baseline="0">
                <a:ln w="0"/>
                <a:solidFill>
                  <a:schemeClr val="tx1"/>
                </a:solidFill>
                <a:effectLst>
                  <a:outerShdw blurRad="38100" dist="19050" dir="2700000" algn="tl" rotWithShape="0">
                    <a:schemeClr val="dk1">
                      <a:alpha val="40000"/>
                    </a:schemeClr>
                  </a:outerShdw>
                </a:effectLst>
              </a:rPr>
              <a:t> Orderes &amp; Sold each Month</a:t>
            </a:r>
            <a:endParaRPr lang="en-GB"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'Units by months'!$B$3</c:f>
              <c:strCache>
                <c:ptCount val="1"/>
                <c:pt idx="0">
                  <c:v>Sum of Units Ordered</c:v>
                </c:pt>
              </c:strCache>
            </c:strRef>
          </c:tx>
          <c:spPr>
            <a:ln w="28575" cap="rnd">
              <a:solidFill>
                <a:schemeClr val="accent1"/>
              </a:solidFill>
              <a:round/>
            </a:ln>
            <a:effectLst/>
          </c:spPr>
          <c:marker>
            <c:symbol val="none"/>
          </c:marker>
          <c:cat>
            <c:strRef>
              <c:f>'Units by months'!$A$4:$A$6</c:f>
              <c:strCache>
                <c:ptCount val="2"/>
                <c:pt idx="0">
                  <c:v>January</c:v>
                </c:pt>
                <c:pt idx="1">
                  <c:v>February</c:v>
                </c:pt>
              </c:strCache>
            </c:strRef>
          </c:cat>
          <c:val>
            <c:numRef>
              <c:f>'Units by months'!$B$4:$B$6</c:f>
              <c:numCache>
                <c:formatCode>General</c:formatCode>
                <c:ptCount val="2"/>
                <c:pt idx="0">
                  <c:v>320</c:v>
                </c:pt>
                <c:pt idx="1">
                  <c:v>287</c:v>
                </c:pt>
              </c:numCache>
            </c:numRef>
          </c:val>
          <c:smooth val="0"/>
          <c:extLst>
            <c:ext xmlns:c16="http://schemas.microsoft.com/office/drawing/2014/chart" uri="{C3380CC4-5D6E-409C-BE32-E72D297353CC}">
              <c16:uniqueId val="{00000000-AE1C-410E-8FB3-9DF98A091118}"/>
            </c:ext>
          </c:extLst>
        </c:ser>
        <c:ser>
          <c:idx val="1"/>
          <c:order val="1"/>
          <c:tx>
            <c:strRef>
              <c:f>'Units by months'!$C$3</c:f>
              <c:strCache>
                <c:ptCount val="1"/>
                <c:pt idx="0">
                  <c:v>Sum of Units Sold</c:v>
                </c:pt>
              </c:strCache>
            </c:strRef>
          </c:tx>
          <c:spPr>
            <a:ln w="28575" cap="rnd">
              <a:solidFill>
                <a:schemeClr val="accent2"/>
              </a:solidFill>
              <a:round/>
            </a:ln>
            <a:effectLst/>
          </c:spPr>
          <c:marker>
            <c:symbol val="none"/>
          </c:marker>
          <c:cat>
            <c:strRef>
              <c:f>'Units by months'!$A$4:$A$6</c:f>
              <c:strCache>
                <c:ptCount val="2"/>
                <c:pt idx="0">
                  <c:v>January</c:v>
                </c:pt>
                <c:pt idx="1">
                  <c:v>February</c:v>
                </c:pt>
              </c:strCache>
            </c:strRef>
          </c:cat>
          <c:val>
            <c:numRef>
              <c:f>'Units by months'!$C$4:$C$6</c:f>
              <c:numCache>
                <c:formatCode>General</c:formatCode>
                <c:ptCount val="2"/>
                <c:pt idx="0">
                  <c:v>247</c:v>
                </c:pt>
                <c:pt idx="1">
                  <c:v>432</c:v>
                </c:pt>
              </c:numCache>
            </c:numRef>
          </c:val>
          <c:smooth val="0"/>
          <c:extLst>
            <c:ext xmlns:c16="http://schemas.microsoft.com/office/drawing/2014/chart" uri="{C3380CC4-5D6E-409C-BE32-E72D297353CC}">
              <c16:uniqueId val="{00000001-AE1C-410E-8FB3-9DF98A091118}"/>
            </c:ext>
          </c:extLst>
        </c:ser>
        <c:dLbls>
          <c:showLegendKey val="0"/>
          <c:showVal val="0"/>
          <c:showCatName val="0"/>
          <c:showSerName val="0"/>
          <c:showPercent val="0"/>
          <c:showBubbleSize val="0"/>
        </c:dLbls>
        <c:smooth val="0"/>
        <c:axId val="422077800"/>
        <c:axId val="422076816"/>
      </c:lineChart>
      <c:catAx>
        <c:axId val="422077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6816"/>
        <c:crosses val="autoZero"/>
        <c:auto val="1"/>
        <c:lblAlgn val="ctr"/>
        <c:lblOffset val="100"/>
        <c:noMultiLvlLbl val="0"/>
      </c:catAx>
      <c:valAx>
        <c:axId val="42207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7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[Retail_Store_Inventory.xlsx]Dist by weather!PivotTable1</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rPr>
              <a:t>Distribution</a:t>
            </a:r>
            <a:r>
              <a:rPr lang="en-US" sz="2000" b="0" cap="none" spc="0" baseline="0">
                <a:ln w="0"/>
                <a:solidFill>
                  <a:schemeClr val="tx1"/>
                </a:solidFill>
                <a:effectLst>
                  <a:outerShdw blurRad="38100" dist="19050" dir="2700000" algn="tl" rotWithShape="0">
                    <a:schemeClr val="dk1">
                      <a:alpha val="40000"/>
                    </a:schemeClr>
                  </a:outerShdw>
                </a:effectLst>
              </a:rPr>
              <a:t> by Category&amp;Weather</a:t>
            </a:r>
            <a:endParaRPr lang="en-US" sz="2000"/>
          </a:p>
        </c:rich>
      </c:tx>
      <c:layout>
        <c:manualLayout>
          <c:xMode val="edge"/>
          <c:yMode val="edge"/>
          <c:x val="0.22398986845572094"/>
          <c:y val="1.388888888888888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008400202957926"/>
          <c:y val="0.27318642461359"/>
          <c:w val="0.4496227034120735"/>
          <c:h val="0.74937117235345585"/>
        </c:manualLayout>
      </c:layout>
      <c:pieChart>
        <c:varyColors val="1"/>
        <c:ser>
          <c:idx val="0"/>
          <c:order val="0"/>
          <c:tx>
            <c:strRef>
              <c:f>'Dist by weather'!$B$3:$B$4</c:f>
              <c:strCache>
                <c:ptCount val="1"/>
                <c:pt idx="0">
                  <c:v>Cloudy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AC-4E02-B8D3-1731505CFF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AC-4E02-B8D3-1731505CFFC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BAC-4E02-B8D3-1731505CFFC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BAC-4E02-B8D3-1731505CFFC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BAC-4E02-B8D3-1731505CFF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 by weather'!$A$5:$A$6</c:f>
              <c:strCache>
                <c:ptCount val="1"/>
                <c:pt idx="0">
                  <c:v>Furniture</c:v>
                </c:pt>
              </c:strCache>
            </c:strRef>
          </c:cat>
          <c:val>
            <c:numRef>
              <c:f>'Dist by weather'!$B$5:$B$6</c:f>
              <c:numCache>
                <c:formatCode>General</c:formatCode>
                <c:ptCount val="1"/>
                <c:pt idx="0">
                  <c:v>1</c:v>
                </c:pt>
              </c:numCache>
            </c:numRef>
          </c:val>
          <c:extLst>
            <c:ext xmlns:c16="http://schemas.microsoft.com/office/drawing/2014/chart" uri="{C3380CC4-5D6E-409C-BE32-E72D297353CC}">
              <c16:uniqueId val="{00000000-942A-4300-98F5-455C707F26D6}"/>
            </c:ext>
          </c:extLst>
        </c:ser>
        <c:ser>
          <c:idx val="1"/>
          <c:order val="1"/>
          <c:tx>
            <c:strRef>
              <c:f>'Dist by weather'!$C$3:$C$4</c:f>
              <c:strCache>
                <c:ptCount val="1"/>
                <c:pt idx="0">
                  <c:v>Rainy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BAC-4E02-B8D3-1731505CFF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BAC-4E02-B8D3-1731505CFFC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BAC-4E02-B8D3-1731505CFFC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BAC-4E02-B8D3-1731505CFFC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BAC-4E02-B8D3-1731505CFF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 by weather'!$A$5:$A$6</c:f>
              <c:strCache>
                <c:ptCount val="1"/>
                <c:pt idx="0">
                  <c:v>Furniture</c:v>
                </c:pt>
              </c:strCache>
            </c:strRef>
          </c:cat>
          <c:val>
            <c:numRef>
              <c:f>'Dist by weather'!$C$5:$C$6</c:f>
              <c:numCache>
                <c:formatCode>General</c:formatCode>
                <c:ptCount val="1"/>
                <c:pt idx="0">
                  <c:v>1</c:v>
                </c:pt>
              </c:numCache>
            </c:numRef>
          </c:val>
          <c:extLst>
            <c:ext xmlns:c16="http://schemas.microsoft.com/office/drawing/2014/chart" uri="{C3380CC4-5D6E-409C-BE32-E72D297353CC}">
              <c16:uniqueId val="{00000004-942A-4300-98F5-455C707F26D6}"/>
            </c:ext>
          </c:extLst>
        </c:ser>
        <c:ser>
          <c:idx val="2"/>
          <c:order val="2"/>
          <c:tx>
            <c:strRef>
              <c:f>'Dist by weather'!$D$3:$D$4</c:f>
              <c:strCache>
                <c:ptCount val="1"/>
                <c:pt idx="0">
                  <c:v>Snowy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BAC-4E02-B8D3-1731505CFF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DBAC-4E02-B8D3-1731505CFFC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DBAC-4E02-B8D3-1731505CFFC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DBAC-4E02-B8D3-1731505CFFC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DBAC-4E02-B8D3-1731505CFF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 by weather'!$A$5:$A$6</c:f>
              <c:strCache>
                <c:ptCount val="1"/>
                <c:pt idx="0">
                  <c:v>Furniture</c:v>
                </c:pt>
              </c:strCache>
            </c:strRef>
          </c:cat>
          <c:val>
            <c:numRef>
              <c:f>'Dist by weather'!$D$5:$D$6</c:f>
              <c:numCache>
                <c:formatCode>General</c:formatCode>
                <c:ptCount val="1"/>
                <c:pt idx="0">
                  <c:v>1</c:v>
                </c:pt>
              </c:numCache>
            </c:numRef>
          </c:val>
          <c:extLst>
            <c:ext xmlns:c16="http://schemas.microsoft.com/office/drawing/2014/chart" uri="{C3380CC4-5D6E-409C-BE32-E72D297353CC}">
              <c16:uniqueId val="{00000005-942A-4300-98F5-455C707F26D6}"/>
            </c:ext>
          </c:extLst>
        </c:ser>
        <c:ser>
          <c:idx val="3"/>
          <c:order val="3"/>
          <c:tx>
            <c:strRef>
              <c:f>'Dist by weather'!$E$3:$E$4</c:f>
              <c:strCache>
                <c:ptCount val="1"/>
                <c:pt idx="0">
                  <c:v>Sunny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DBAC-4E02-B8D3-1731505CFF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DBAC-4E02-B8D3-1731505CFFC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DBAC-4E02-B8D3-1731505CFFC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DBAC-4E02-B8D3-1731505CFFC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DBAC-4E02-B8D3-1731505CFF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 by weather'!$A$5:$A$6</c:f>
              <c:strCache>
                <c:ptCount val="1"/>
                <c:pt idx="0">
                  <c:v>Furniture</c:v>
                </c:pt>
              </c:strCache>
            </c:strRef>
          </c:cat>
          <c:val>
            <c:numRef>
              <c:f>'Dist by weather'!$E$5:$E$6</c:f>
              <c:numCache>
                <c:formatCode>General</c:formatCode>
                <c:ptCount val="1"/>
                <c:pt idx="0">
                  <c:v>1</c:v>
                </c:pt>
              </c:numCache>
            </c:numRef>
          </c:val>
          <c:extLst>
            <c:ext xmlns:c16="http://schemas.microsoft.com/office/drawing/2014/chart" uri="{C3380CC4-5D6E-409C-BE32-E72D297353CC}">
              <c16:uniqueId val="{00000006-942A-4300-98F5-455C707F26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[Retail_Store_Inventory.xlsx]By Seasons!PivotTable1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rPr>
              <a:t>Seasons</a:t>
            </a:r>
            <a:endParaRPr lang="en-US" sz="2000"/>
          </a:p>
        </c:rich>
      </c:tx>
      <c:overlay val="0"/>
      <c:spPr>
        <a:solidFill>
          <a:sysClr val="window" lastClr="FFFFFF"/>
        </a:solidFill>
        <a:ln>
          <a:solidFill>
            <a:sysClr val="windowText" lastClr="000000">
              <a:lumMod val="25000"/>
              <a:lumOff val="75000"/>
            </a:sys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'By Seasons'!$B$3</c:f>
              <c:strCache>
                <c:ptCount val="1"/>
                <c:pt idx="0">
                  <c:v>Total</c:v>
                </c:pt>
              </c:strCache>
            </c:strRef>
          </c:tx>
          <c:spPr>
            <a:solidFill>
              <a:schemeClr val="accent1"/>
            </a:solidFill>
            <a:ln>
              <a:noFill/>
            </a:ln>
            <a:effectLst/>
          </c:spPr>
          <c:invertIfNegative val="0"/>
          <c:cat>
            <c:multiLvlStrRef>
              <c:f>'By Seasons'!$A$4:$A$7</c:f>
              <c:multiLvlStrCache>
                <c:ptCount val="2"/>
                <c:lvl>
                  <c:pt idx="0">
                    <c:v>Spring</c:v>
                  </c:pt>
                  <c:pt idx="1">
                    <c:v>Winter</c:v>
                  </c:pt>
                </c:lvl>
                <c:lvl>
                  <c:pt idx="0">
                    <c:v>Furniture</c:v>
                  </c:pt>
                </c:lvl>
              </c:multiLvlStrCache>
            </c:multiLvlStrRef>
          </c:cat>
          <c:val>
            <c:numRef>
              <c:f>'By Seasons'!$B$4:$B$7</c:f>
              <c:numCache>
                <c:formatCode>General</c:formatCode>
                <c:ptCount val="2"/>
                <c:pt idx="0">
                  <c:v>78.990000000000009</c:v>
                </c:pt>
                <c:pt idx="1">
                  <c:v>119.75</c:v>
                </c:pt>
              </c:numCache>
            </c:numRef>
          </c:val>
          <c:extLst>
            <c:ext xmlns:c16="http://schemas.microsoft.com/office/drawing/2014/chart" uri="{C3380CC4-5D6E-409C-BE32-E72D297353CC}">
              <c16:uniqueId val="{00000000-6A9F-477C-B271-8C23CBACF0F8}"/>
            </c:ext>
          </c:extLst>
        </c:ser>
        <c:dLbls>
          <c:showLegendKey val="0"/>
          <c:showVal val="0"/>
          <c:showCatName val="0"/>
          <c:showSerName val="0"/>
          <c:showPercent val="0"/>
          <c:showBubbleSize val="0"/>
        </c:dLbls>
        <c:gapWidth val="219"/>
        <c:overlap val="-27"/>
        <c:axId val="572265080"/>
        <c:axId val="572261800"/>
      </c:barChart>
      <c:catAx>
        <c:axId val="57226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1800"/>
        <c:crosses val="autoZero"/>
        <c:auto val="1"/>
        <c:lblAlgn val="ctr"/>
        <c:lblOffset val="100"/>
        <c:noMultiLvlLbl val="0"/>
      </c:catAx>
      <c:valAx>
        <c:axId val="572261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5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802218</xdr:colOff>
      <xdr:row>2</xdr:row>
      <xdr:rowOff>101600</xdr:rowOff>
    </xdr:from>
    <xdr:to>
      <xdr:col>9</xdr:col>
      <xdr:colOff>595208</xdr:colOff>
      <xdr:row>21</xdr:row>
      <xdr:rowOff>157903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370416</xdr:colOff>
      <xdr:row>2</xdr:row>
      <xdr:rowOff>146049</xdr:rowOff>
    </xdr:from>
    <xdr:to>
      <xdr:col>18</xdr:col>
      <xdr:colOff>613832</xdr:colOff>
      <xdr:row>18</xdr:row>
      <xdr:rowOff>84667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296334</xdr:colOff>
      <xdr:row>22</xdr:row>
      <xdr:rowOff>148165</xdr:rowOff>
    </xdr:from>
    <xdr:to>
      <xdr:col>18</xdr:col>
      <xdr:colOff>645583</xdr:colOff>
      <xdr:row>41</xdr:row>
      <xdr:rowOff>127000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433916</xdr:colOff>
      <xdr:row>2</xdr:row>
      <xdr:rowOff>112183</xdr:rowOff>
    </xdr:from>
    <xdr:to>
      <xdr:col>4</xdr:col>
      <xdr:colOff>275167</xdr:colOff>
      <xdr:row>10</xdr:row>
      <xdr:rowOff>129116</xdr:rowOff>
    </xdr:to>
    <mc:AlternateContent xmlns:mc="http://schemas.openxmlformats.org/markup-compatibility/2006" xmlns:tsle="http://schemas.microsoft.com/office/drawing/2012/timeslicer">
      <mc:Choice Requires="tsle">
        <xdr:graphicFrame macro="">
          <xdr:nvGraphicFramePr>
            <xdr:cNvPr id="6"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33916" y="937683"/>
              <a:ext cx="2465918" cy="1371600"/>
            </a:xfrm>
            <a:prstGeom prst="rect">
              <a:avLst/>
            </a:prstGeom>
            <a:solidFill>
              <a:prstClr val="white"/>
            </a:solidFill>
            <a:ln w="1">
              <a:solidFill>
                <a:prstClr val="green"/>
              </a:solidFill>
            </a:ln>
          </xdr:spPr>
          <xdr:txBody>
            <a:bodyPr vertOverflow="clip" horzOverflow="clip"/>
            <a:lstStyle/>
            <a:p>
              <a:r>
                <a:rPr lang="en-GB" sz="1100"/>
                <a:t>Timeline: Works in Excel or higher. Do not move or resize.</a:t>
              </a:r>
            </a:p>
          </xdr:txBody>
        </xdr:sp>
      </mc:Fallback>
    </mc:AlternateContent>
    <xdr:clientData/>
  </xdr:twoCellAnchor>
  <xdr:twoCellAnchor editAs="oneCell">
    <xdr:from>
      <xdr:col>0</xdr:col>
      <xdr:colOff>421215</xdr:colOff>
      <xdr:row>11</xdr:row>
      <xdr:rowOff>135466</xdr:rowOff>
    </xdr:from>
    <xdr:to>
      <xdr:col>4</xdr:col>
      <xdr:colOff>285749</xdr:colOff>
      <xdr:row>21</xdr:row>
      <xdr:rowOff>158750</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1215" y="2484966"/>
              <a:ext cx="2489201" cy="17166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410632</xdr:colOff>
      <xdr:row>22</xdr:row>
      <xdr:rowOff>135468</xdr:rowOff>
    </xdr:from>
    <xdr:to>
      <xdr:col>4</xdr:col>
      <xdr:colOff>264582</xdr:colOff>
      <xdr:row>31</xdr:row>
      <xdr:rowOff>31750</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0632" y="4347635"/>
              <a:ext cx="2478617" cy="14202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414864</xdr:colOff>
      <xdr:row>32</xdr:row>
      <xdr:rowOff>52917</xdr:rowOff>
    </xdr:from>
    <xdr:to>
      <xdr:col>4</xdr:col>
      <xdr:colOff>264582</xdr:colOff>
      <xdr:row>40</xdr:row>
      <xdr:rowOff>148167</xdr:rowOff>
    </xdr:to>
    <mc:AlternateContent xmlns:mc="http://schemas.openxmlformats.org/markup-compatibility/2006" xmlns:a14="http://schemas.microsoft.com/office/drawing/2010/main">
      <mc:Choice Requires="a14">
        <xdr:graphicFrame macro="">
          <xdr:nvGraphicFramePr>
            <xdr:cNvPr id="9" name="Seasonality"/>
            <xdr:cNvGraphicFramePr/>
          </xdr:nvGraphicFramePr>
          <xdr:xfrm>
            <a:off x="0" y="0"/>
            <a:ext cx="0" cy="0"/>
          </xdr:xfrm>
          <a:graphic>
            <a:graphicData uri="http://schemas.microsoft.com/office/drawing/2010/slicer">
              <sle:slicer xmlns:sle="http://schemas.microsoft.com/office/drawing/2010/slicer" name="Seasonality"/>
            </a:graphicData>
          </a:graphic>
        </xdr:graphicFrame>
      </mc:Choice>
      <mc:Fallback xmlns="">
        <xdr:sp macro="" textlink="">
          <xdr:nvSpPr>
            <xdr:cNvPr id="0" name=""/>
            <xdr:cNvSpPr>
              <a:spLocks noTextEdit="1"/>
            </xdr:cNvSpPr>
          </xdr:nvSpPr>
          <xdr:spPr>
            <a:xfrm>
              <a:off x="414864" y="5958417"/>
              <a:ext cx="2474385" cy="14499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804333</xdr:colOff>
      <xdr:row>22</xdr:row>
      <xdr:rowOff>158750</xdr:rowOff>
    </xdr:from>
    <xdr:to>
      <xdr:col>9</xdr:col>
      <xdr:colOff>613833</xdr:colOff>
      <xdr:row>41</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145143</xdr:colOff>
      <xdr:row>1</xdr:row>
      <xdr:rowOff>154214</xdr:rowOff>
    </xdr:from>
    <xdr:to>
      <xdr:col>18</xdr:col>
      <xdr:colOff>190500</xdr:colOff>
      <xdr:row>26</xdr:row>
      <xdr:rowOff>136071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511175</xdr:colOff>
      <xdr:row>4</xdr:row>
      <xdr:rowOff>22225</xdr:rowOff>
    </xdr:from>
    <xdr:to>
      <xdr:col>9</xdr:col>
      <xdr:colOff>339725</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622300</xdr:colOff>
      <xdr:row>4</xdr:row>
      <xdr:rowOff>22225</xdr:rowOff>
    </xdr:from>
    <xdr:to>
      <xdr:col>11</xdr:col>
      <xdr:colOff>193674</xdr:colOff>
      <xdr:row>18</xdr:row>
      <xdr:rowOff>6350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1063625</xdr:colOff>
      <xdr:row>4</xdr:row>
      <xdr:rowOff>22225</xdr:rowOff>
    </xdr:from>
    <xdr:to>
      <xdr:col>6</xdr:col>
      <xdr:colOff>1196975</xdr:colOff>
      <xdr:row>19</xdr:row>
      <xdr:rowOff>12701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MG" refreshedDate="45874.837460300929" createdVersion="6" refreshedVersion="6" minRefreshableVersion="3" recordCount="40">
  <cacheSource type="worksheet">
    <worksheetSource name="Table1"/>
  </cacheSource>
  <cacheFields count="16">
    <cacheField name="Date" numFmtId="14">
      <sharedItems containsSemiMixedTypes="0" containsNonDate="0" containsDate="1" containsString="0" minDate="2022-01-01T00:00:00" maxDate="2022-02-16T00:00:00" count="13">
        <d v="2022-01-01T00:00:00"/>
        <d v="2022-01-12T00:00:00"/>
        <d v="2022-01-13T00:00:00"/>
        <d v="2022-01-16T00:00:00"/>
        <d v="2022-01-20T00:00:00"/>
        <d v="2022-01-21T00:00:00"/>
        <d v="2022-01-22T00:00:00"/>
        <d v="2022-02-01T00:00:00"/>
        <d v="2022-02-04T00:00:00"/>
        <d v="2022-02-05T00:00:00"/>
        <d v="2022-02-10T00:00:00"/>
        <d v="2022-02-12T00:00:00"/>
        <d v="2022-02-15T00:00:00"/>
      </sharedItems>
    </cacheField>
    <cacheField name="Store ID" numFmtId="0">
      <sharedItems/>
    </cacheField>
    <cacheField name="Product ID" numFmtId="0">
      <sharedItems/>
    </cacheField>
    <cacheField name="Category" numFmtId="0">
      <sharedItems count="5">
        <s v="Groceries"/>
        <s v="Toys"/>
        <s v="Electronics"/>
        <s v="Furniture"/>
        <s v="Clothing"/>
      </sharedItems>
    </cacheField>
    <cacheField name="Region" numFmtId="0">
      <sharedItems count="4">
        <s v="North"/>
        <s v="South"/>
        <s v="West"/>
        <s v="East"/>
      </sharedItems>
    </cacheField>
    <cacheField name="Inventory Level" numFmtId="0">
      <sharedItems containsSemiMixedTypes="0" containsString="0" containsNumber="1" containsInteger="1" minValue="66" maxValue="492"/>
    </cacheField>
    <cacheField name="Units Sold" numFmtId="0">
      <sharedItems containsSemiMixedTypes="0" containsString="0" containsNumber="1" containsInteger="1" minValue="9" maxValue="393"/>
    </cacheField>
    <cacheField name="Units Ordered" numFmtId="0">
      <sharedItems containsSemiMixedTypes="0" containsString="0" containsNumber="1" containsInteger="1" minValue="25" maxValue="196"/>
    </cacheField>
    <cacheField name="Demand Forecast" numFmtId="0">
      <sharedItems containsSemiMixedTypes="0" containsString="0" containsNumber="1" minValue="6.8" maxValue="401.48"/>
    </cacheField>
    <cacheField name="Price" numFmtId="0">
      <sharedItems containsSemiMixedTypes="0" containsString="0" containsNumber="1" minValue="11.71" maxValue="97.99"/>
    </cacheField>
    <cacheField name="Discount" numFmtId="0">
      <sharedItems containsSemiMixedTypes="0" containsString="0" containsNumber="1" containsInteger="1" minValue="0" maxValue="20"/>
    </cacheField>
    <cacheField name="Weather Condition" numFmtId="0">
      <sharedItems count="4">
        <s v="Rainy"/>
        <s v="Sunny"/>
        <s v="Cloudy"/>
        <s v="Snowy"/>
      </sharedItems>
    </cacheField>
    <cacheField name="Holiday/Promotion" numFmtId="0">
      <sharedItems containsSemiMixedTypes="0" containsString="0" containsNumber="1" containsInteger="1" minValue="0" maxValue="1"/>
    </cacheField>
    <cacheField name="Competitor Pricing" numFmtId="0">
      <sharedItems containsSemiMixedTypes="0" containsString="0" containsNumber="1" minValue="10" maxValue="100.09"/>
    </cacheField>
    <cacheField name="Seasonality" numFmtId="0">
      <sharedItems count="4">
        <s v="Autumn"/>
        <s v="Summer"/>
        <s v="Winter"/>
        <s v="Spring"/>
      </sharedItems>
    </cacheField>
    <cacheField name="Months" numFmtId="0">
      <sharedItems count="2">
        <s v="January"/>
        <s v="Februar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
  <r>
    <x v="0"/>
    <s v="S001"/>
    <s v="P0001"/>
    <x v="0"/>
    <x v="0"/>
    <n v="231"/>
    <n v="127"/>
    <n v="55"/>
    <n v="135.47"/>
    <n v="33.5"/>
    <n v="20"/>
    <x v="0"/>
    <n v="0"/>
    <n v="29.69"/>
    <x v="0"/>
    <x v="0"/>
  </r>
  <r>
    <x v="0"/>
    <s v="S001"/>
    <s v="P0002"/>
    <x v="1"/>
    <x v="1"/>
    <n v="204"/>
    <n v="150"/>
    <n v="66"/>
    <n v="144.04"/>
    <n v="63.01"/>
    <n v="20"/>
    <x v="1"/>
    <n v="0"/>
    <n v="66.16"/>
    <x v="0"/>
    <x v="0"/>
  </r>
  <r>
    <x v="0"/>
    <s v="S001"/>
    <s v="P0003"/>
    <x v="1"/>
    <x v="2"/>
    <n v="102"/>
    <n v="65"/>
    <n v="51"/>
    <n v="74.02"/>
    <n v="27.99"/>
    <n v="10"/>
    <x v="1"/>
    <n v="1"/>
    <n v="31.32"/>
    <x v="1"/>
    <x v="0"/>
  </r>
  <r>
    <x v="0"/>
    <s v="S001"/>
    <s v="P0004"/>
    <x v="1"/>
    <x v="0"/>
    <n v="469"/>
    <n v="61"/>
    <n v="164"/>
    <n v="62.18"/>
    <n v="32.72"/>
    <n v="10"/>
    <x v="2"/>
    <n v="1"/>
    <n v="34.74"/>
    <x v="0"/>
    <x v="0"/>
  </r>
  <r>
    <x v="0"/>
    <s v="S001"/>
    <s v="P0005"/>
    <x v="2"/>
    <x v="3"/>
    <n v="166"/>
    <n v="14"/>
    <n v="135"/>
    <n v="9.26"/>
    <n v="73.64"/>
    <n v="0"/>
    <x v="1"/>
    <n v="0"/>
    <n v="68.95"/>
    <x v="1"/>
    <x v="0"/>
  </r>
  <r>
    <x v="0"/>
    <s v="S001"/>
    <s v="P0006"/>
    <x v="0"/>
    <x v="1"/>
    <n v="138"/>
    <n v="128"/>
    <n v="102"/>
    <n v="139.82"/>
    <n v="76.83"/>
    <n v="10"/>
    <x v="1"/>
    <n v="1"/>
    <n v="79.349999999999994"/>
    <x v="2"/>
    <x v="0"/>
  </r>
  <r>
    <x v="1"/>
    <s v="S001"/>
    <s v="P0007"/>
    <x v="3"/>
    <x v="3"/>
    <n v="359"/>
    <n v="97"/>
    <n v="167"/>
    <n v="108.92"/>
    <n v="34.159999999999997"/>
    <n v="10"/>
    <x v="0"/>
    <n v="1"/>
    <n v="36.549999999999997"/>
    <x v="2"/>
    <x v="0"/>
  </r>
  <r>
    <x v="1"/>
    <s v="S001"/>
    <s v="P0008"/>
    <x v="4"/>
    <x v="0"/>
    <n v="380"/>
    <n v="312"/>
    <n v="54"/>
    <n v="329.73"/>
    <n v="97.99"/>
    <n v="5"/>
    <x v="2"/>
    <n v="0"/>
    <n v="100.09"/>
    <x v="3"/>
    <x v="0"/>
  </r>
  <r>
    <x v="1"/>
    <s v="S001"/>
    <s v="P0009"/>
    <x v="2"/>
    <x v="2"/>
    <n v="183"/>
    <n v="175"/>
    <n v="135"/>
    <n v="174.15"/>
    <n v="20.74"/>
    <n v="10"/>
    <x v="2"/>
    <n v="0"/>
    <n v="17.66"/>
    <x v="0"/>
    <x v="0"/>
  </r>
  <r>
    <x v="2"/>
    <s v="S001"/>
    <s v="P0010"/>
    <x v="1"/>
    <x v="1"/>
    <n v="108"/>
    <n v="28"/>
    <n v="196"/>
    <n v="24.47"/>
    <n v="59.99"/>
    <n v="0"/>
    <x v="0"/>
    <n v="1"/>
    <n v="61.21"/>
    <x v="2"/>
    <x v="0"/>
  </r>
  <r>
    <x v="2"/>
    <s v="S001"/>
    <s v="P0011"/>
    <x v="3"/>
    <x v="1"/>
    <n v="258"/>
    <n v="150"/>
    <n v="153"/>
    <n v="152.74"/>
    <n v="58.53"/>
    <n v="10"/>
    <x v="1"/>
    <n v="1"/>
    <n v="61.42"/>
    <x v="3"/>
    <x v="0"/>
  </r>
  <r>
    <x v="3"/>
    <s v="S001"/>
    <s v="P0012"/>
    <x v="4"/>
    <x v="2"/>
    <n v="66"/>
    <n v="24"/>
    <n v="70"/>
    <n v="26.75"/>
    <n v="58.25"/>
    <n v="20"/>
    <x v="3"/>
    <n v="0"/>
    <n v="62.21"/>
    <x v="3"/>
    <x v="0"/>
  </r>
  <r>
    <x v="3"/>
    <s v="S001"/>
    <s v="P0013"/>
    <x v="1"/>
    <x v="1"/>
    <n v="96"/>
    <n v="42"/>
    <n v="85"/>
    <n v="41.46"/>
    <n v="43.6"/>
    <n v="0"/>
    <x v="2"/>
    <n v="0"/>
    <n v="46.31"/>
    <x v="3"/>
    <x v="0"/>
  </r>
  <r>
    <x v="3"/>
    <s v="S001"/>
    <s v="P0014"/>
    <x v="4"/>
    <x v="2"/>
    <n v="193"/>
    <n v="12"/>
    <n v="187"/>
    <n v="6.8"/>
    <n v="78.11"/>
    <n v="0"/>
    <x v="1"/>
    <n v="0"/>
    <n v="80.06"/>
    <x v="3"/>
    <x v="0"/>
  </r>
  <r>
    <x v="3"/>
    <s v="S001"/>
    <s v="P0015"/>
    <x v="4"/>
    <x v="0"/>
    <n v="379"/>
    <n v="369"/>
    <n v="154"/>
    <n v="363.46"/>
    <n v="92.99"/>
    <n v="15"/>
    <x v="3"/>
    <n v="0"/>
    <n v="95.8"/>
    <x v="2"/>
    <x v="0"/>
  </r>
  <r>
    <x v="4"/>
    <s v="S001"/>
    <s v="P0016"/>
    <x v="2"/>
    <x v="0"/>
    <n v="363"/>
    <n v="255"/>
    <n v="69"/>
    <n v="255.74"/>
    <n v="21.9"/>
    <n v="5"/>
    <x v="2"/>
    <n v="1"/>
    <n v="20.27"/>
    <x v="0"/>
    <x v="0"/>
  </r>
  <r>
    <x v="4"/>
    <s v="S001"/>
    <s v="P0017"/>
    <x v="1"/>
    <x v="2"/>
    <n v="318"/>
    <n v="246"/>
    <n v="177"/>
    <n v="255.37"/>
    <n v="21.07"/>
    <n v="20"/>
    <x v="1"/>
    <n v="0"/>
    <n v="16.489999999999998"/>
    <x v="2"/>
    <x v="0"/>
  </r>
  <r>
    <x v="5"/>
    <s v="S001"/>
    <s v="P0018"/>
    <x v="4"/>
    <x v="1"/>
    <n v="241"/>
    <n v="151"/>
    <n v="47"/>
    <n v="147.27000000000001"/>
    <n v="19.57"/>
    <n v="5"/>
    <x v="2"/>
    <n v="0"/>
    <n v="23.13"/>
    <x v="0"/>
    <x v="0"/>
  </r>
  <r>
    <x v="5"/>
    <s v="S001"/>
    <s v="P0019"/>
    <x v="4"/>
    <x v="3"/>
    <n v="352"/>
    <n v="257"/>
    <n v="186"/>
    <n v="267.38"/>
    <n v="73.28"/>
    <n v="10"/>
    <x v="2"/>
    <n v="0"/>
    <n v="77.260000000000005"/>
    <x v="2"/>
    <x v="0"/>
  </r>
  <r>
    <x v="5"/>
    <s v="S001"/>
    <s v="P0020"/>
    <x v="1"/>
    <x v="3"/>
    <n v="274"/>
    <n v="99"/>
    <n v="166"/>
    <n v="115.23"/>
    <n v="30.24"/>
    <n v="5"/>
    <x v="2"/>
    <n v="0"/>
    <n v="27.1"/>
    <x v="3"/>
    <x v="0"/>
  </r>
  <r>
    <x v="6"/>
    <s v="S002"/>
    <s v="P0001"/>
    <x v="0"/>
    <x v="1"/>
    <n v="343"/>
    <n v="104"/>
    <n v="144"/>
    <n v="112.55"/>
    <n v="32.799999999999997"/>
    <n v="20"/>
    <x v="1"/>
    <n v="1"/>
    <n v="30.78"/>
    <x v="3"/>
    <x v="0"/>
  </r>
  <r>
    <x v="7"/>
    <s v="S002"/>
    <s v="P0002"/>
    <x v="4"/>
    <x v="2"/>
    <n v="373"/>
    <n v="141"/>
    <n v="151"/>
    <n v="135.62"/>
    <n v="46.16"/>
    <n v="10"/>
    <x v="0"/>
    <n v="1"/>
    <n v="45.21"/>
    <x v="2"/>
    <x v="1"/>
  </r>
  <r>
    <x v="7"/>
    <s v="S002"/>
    <s v="P0003"/>
    <x v="3"/>
    <x v="3"/>
    <n v="445"/>
    <n v="182"/>
    <n v="119"/>
    <n v="176.31"/>
    <n v="20.46"/>
    <n v="20"/>
    <x v="3"/>
    <n v="1"/>
    <n v="22"/>
    <x v="3"/>
    <x v="1"/>
  </r>
  <r>
    <x v="7"/>
    <s v="S002"/>
    <s v="P0004"/>
    <x v="1"/>
    <x v="2"/>
    <n v="191"/>
    <n v="63"/>
    <n v="115"/>
    <n v="54.57"/>
    <n v="26.19"/>
    <n v="0"/>
    <x v="2"/>
    <n v="0"/>
    <n v="28.06"/>
    <x v="0"/>
    <x v="1"/>
  </r>
  <r>
    <x v="8"/>
    <s v="S002"/>
    <s v="P0005"/>
    <x v="1"/>
    <x v="2"/>
    <n v="281"/>
    <n v="156"/>
    <n v="25"/>
    <n v="150.9"/>
    <n v="83.29"/>
    <n v="20"/>
    <x v="0"/>
    <n v="0"/>
    <n v="80.64"/>
    <x v="0"/>
    <x v="1"/>
  </r>
  <r>
    <x v="8"/>
    <s v="S002"/>
    <s v="P0006"/>
    <x v="3"/>
    <x v="0"/>
    <n v="492"/>
    <n v="250"/>
    <n v="168"/>
    <n v="242.57"/>
    <n v="85.59"/>
    <n v="20"/>
    <x v="2"/>
    <n v="0"/>
    <n v="86.82"/>
    <x v="2"/>
    <x v="1"/>
  </r>
  <r>
    <x v="8"/>
    <s v="S002"/>
    <s v="P0007"/>
    <x v="0"/>
    <x v="2"/>
    <n v="460"/>
    <n v="393"/>
    <n v="70"/>
    <n v="401.48"/>
    <n v="91.13"/>
    <n v="5"/>
    <x v="1"/>
    <n v="0"/>
    <n v="93.33"/>
    <x v="1"/>
    <x v="1"/>
  </r>
  <r>
    <x v="9"/>
    <s v="S002"/>
    <s v="P0008"/>
    <x v="2"/>
    <x v="2"/>
    <n v="304"/>
    <n v="29"/>
    <n v="99"/>
    <n v="35.54"/>
    <n v="66.959999999999994"/>
    <n v="20"/>
    <x v="3"/>
    <n v="0"/>
    <n v="65.36"/>
    <x v="1"/>
    <x v="1"/>
  </r>
  <r>
    <x v="9"/>
    <s v="S002"/>
    <s v="P0009"/>
    <x v="4"/>
    <x v="1"/>
    <n v="113"/>
    <n v="9"/>
    <n v="84"/>
    <n v="14.78"/>
    <n v="81.290000000000006"/>
    <n v="5"/>
    <x v="0"/>
    <n v="1"/>
    <n v="82.06"/>
    <x v="2"/>
    <x v="1"/>
  </r>
  <r>
    <x v="9"/>
    <s v="S002"/>
    <s v="P0010"/>
    <x v="2"/>
    <x v="0"/>
    <n v="157"/>
    <n v="126"/>
    <n v="181"/>
    <n v="132.75"/>
    <n v="60.84"/>
    <n v="0"/>
    <x v="3"/>
    <n v="1"/>
    <n v="65.22"/>
    <x v="2"/>
    <x v="1"/>
  </r>
  <r>
    <x v="9"/>
    <s v="S002"/>
    <s v="P0011"/>
    <x v="0"/>
    <x v="2"/>
    <n v="67"/>
    <n v="13"/>
    <n v="33"/>
    <n v="7.44"/>
    <n v="34.619999999999997"/>
    <n v="0"/>
    <x v="3"/>
    <n v="1"/>
    <n v="33.979999999999997"/>
    <x v="0"/>
    <x v="1"/>
  </r>
  <r>
    <x v="9"/>
    <s v="S002"/>
    <s v="P0012"/>
    <x v="0"/>
    <x v="3"/>
    <n v="281"/>
    <n v="25"/>
    <n v="136"/>
    <n v="37.270000000000003"/>
    <n v="19.559999999999999"/>
    <n v="5"/>
    <x v="0"/>
    <n v="1"/>
    <n v="19.010000000000002"/>
    <x v="2"/>
    <x v="1"/>
  </r>
  <r>
    <x v="10"/>
    <s v="S002"/>
    <s v="P0013"/>
    <x v="4"/>
    <x v="3"/>
    <n v="389"/>
    <n v="283"/>
    <n v="177"/>
    <n v="299.7"/>
    <n v="57.78"/>
    <n v="20"/>
    <x v="2"/>
    <n v="0"/>
    <n v="58.5"/>
    <x v="3"/>
    <x v="1"/>
  </r>
  <r>
    <x v="10"/>
    <s v="S002"/>
    <s v="P0014"/>
    <x v="2"/>
    <x v="3"/>
    <n v="465"/>
    <n v="359"/>
    <n v="77"/>
    <n v="370.36"/>
    <n v="91.28"/>
    <n v="20"/>
    <x v="2"/>
    <n v="0"/>
    <n v="90.85"/>
    <x v="1"/>
    <x v="1"/>
  </r>
  <r>
    <x v="10"/>
    <s v="S002"/>
    <s v="P0015"/>
    <x v="1"/>
    <x v="1"/>
    <n v="197"/>
    <n v="129"/>
    <n v="94"/>
    <n v="148.55000000000001"/>
    <n v="59.9"/>
    <n v="15"/>
    <x v="1"/>
    <n v="1"/>
    <n v="55.23"/>
    <x v="2"/>
    <x v="1"/>
  </r>
  <r>
    <x v="11"/>
    <s v="S002"/>
    <s v="P0016"/>
    <x v="1"/>
    <x v="1"/>
    <n v="242"/>
    <n v="63"/>
    <n v="85"/>
    <n v="58.07"/>
    <n v="45.65"/>
    <n v="20"/>
    <x v="0"/>
    <n v="1"/>
    <n v="42.17"/>
    <x v="3"/>
    <x v="1"/>
  </r>
  <r>
    <x v="11"/>
    <s v="S002"/>
    <s v="P0017"/>
    <x v="0"/>
    <x v="2"/>
    <n v="398"/>
    <n v="373"/>
    <n v="92"/>
    <n v="390.89"/>
    <n v="11.71"/>
    <n v="20"/>
    <x v="2"/>
    <n v="1"/>
    <n v="10"/>
    <x v="2"/>
    <x v="1"/>
  </r>
  <r>
    <x v="11"/>
    <s v="S002"/>
    <s v="P0018"/>
    <x v="0"/>
    <x v="0"/>
    <n v="234"/>
    <n v="160"/>
    <n v="140"/>
    <n v="177.41"/>
    <n v="58.84"/>
    <n v="5"/>
    <x v="2"/>
    <n v="0"/>
    <n v="54.39"/>
    <x v="1"/>
    <x v="1"/>
  </r>
  <r>
    <x v="12"/>
    <s v="S002"/>
    <s v="P0019"/>
    <x v="1"/>
    <x v="3"/>
    <n v="67"/>
    <n v="15"/>
    <n v="186"/>
    <n v="34.380000000000003"/>
    <n v="84.99"/>
    <n v="5"/>
    <x v="1"/>
    <n v="1"/>
    <n v="81.02"/>
    <x v="2"/>
    <x v="1"/>
  </r>
  <r>
    <x v="12"/>
    <s v="S002"/>
    <s v="P0020"/>
    <x v="1"/>
    <x v="2"/>
    <n v="221"/>
    <n v="101"/>
    <n v="38"/>
    <n v="115"/>
    <n v="87.1"/>
    <n v="0"/>
    <x v="0"/>
    <n v="1"/>
    <n v="91.56"/>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C8" firstHeaderRow="0" firstDataRow="1" firstDataCol="1"/>
  <pivotFields count="16">
    <pivotField numFmtId="14" showAll="0">
      <items count="14">
        <item x="0"/>
        <item x="1"/>
        <item x="2"/>
        <item x="3"/>
        <item x="4"/>
        <item x="5"/>
        <item x="6"/>
        <item x="7"/>
        <item x="8"/>
        <item x="9"/>
        <item x="10"/>
        <item x="11"/>
        <item x="12"/>
        <item t="default"/>
      </items>
    </pivotField>
    <pivotField showAll="0"/>
    <pivotField showAll="0"/>
    <pivotField axis="axisRow" showAll="0">
      <items count="6">
        <item h="1" x="4"/>
        <item h="1" x="2"/>
        <item x="3"/>
        <item h="1" x="0"/>
        <item h="1" x="1"/>
        <item t="default"/>
      </items>
    </pivotField>
    <pivotField axis="axisRow" showAll="0">
      <items count="5">
        <item x="3"/>
        <item x="0"/>
        <item x="1"/>
        <item x="2"/>
        <item t="default"/>
      </items>
    </pivotField>
    <pivotField showAll="0"/>
    <pivotField showAll="0"/>
    <pivotField showAll="0"/>
    <pivotField showAll="0"/>
    <pivotField dataField="1" showAll="0"/>
    <pivotField dataField="1" showAll="0"/>
    <pivotField showAll="0"/>
    <pivotField showAll="0"/>
    <pivotField showAll="0"/>
    <pivotField showAll="0">
      <items count="5">
        <item x="0"/>
        <item x="3"/>
        <item x="1"/>
        <item x="2"/>
        <item t="default"/>
      </items>
    </pivotField>
    <pivotField showAll="0" defaultSubtotal="0"/>
  </pivotFields>
  <rowFields count="2">
    <field x="3"/>
    <field x="4"/>
  </rowFields>
  <rowItems count="5">
    <i>
      <x v="2"/>
    </i>
    <i r="1">
      <x/>
    </i>
    <i r="1">
      <x v="1"/>
    </i>
    <i r="1">
      <x v="2"/>
    </i>
    <i t="grand">
      <x/>
    </i>
  </rowItems>
  <colFields count="1">
    <field x="-2"/>
  </colFields>
  <colItems count="2">
    <i>
      <x/>
    </i>
    <i i="1">
      <x v="1"/>
    </i>
  </colItems>
  <dataFields count="2">
    <dataField name="Sum of Price" fld="9" baseField="0" baseItem="0"/>
    <dataField name="Sum of Discount" fld="10"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6" firstHeaderRow="0" firstDataRow="1" firstDataCol="1"/>
  <pivotFields count="16">
    <pivotField numFmtId="14" showAll="0"/>
    <pivotField showAll="0"/>
    <pivotField showAll="0"/>
    <pivotField showAll="0">
      <items count="6">
        <item h="1" x="4"/>
        <item h="1" x="2"/>
        <item x="3"/>
        <item h="1" x="0"/>
        <item h="1" x="1"/>
        <item t="default"/>
      </items>
    </pivotField>
    <pivotField showAll="0">
      <items count="5">
        <item x="3"/>
        <item x="0"/>
        <item x="1"/>
        <item x="2"/>
        <item t="default"/>
      </items>
    </pivotField>
    <pivotField showAll="0"/>
    <pivotField dataField="1" showAll="0"/>
    <pivotField dataField="1" showAll="0"/>
    <pivotField showAll="0"/>
    <pivotField showAll="0"/>
    <pivotField showAll="0"/>
    <pivotField showAll="0"/>
    <pivotField showAll="0"/>
    <pivotField showAll="0"/>
    <pivotField showAll="0">
      <items count="5">
        <item x="0"/>
        <item x="3"/>
        <item x="1"/>
        <item x="2"/>
        <item t="default"/>
      </items>
    </pivotField>
    <pivotField axis="axisRow" showAll="0" sortType="ascending" defaultSubtotal="0">
      <items count="2">
        <item x="0"/>
        <item x="1"/>
      </items>
      <autoSortScope>
        <pivotArea dataOnly="0" outline="0" fieldPosition="0">
          <references count="1">
            <reference field="4294967294" count="1" selected="0">
              <x v="1"/>
            </reference>
          </references>
        </pivotArea>
      </autoSortScope>
    </pivotField>
  </pivotFields>
  <rowFields count="1">
    <field x="15"/>
  </rowFields>
  <rowItems count="3">
    <i>
      <x/>
    </i>
    <i>
      <x v="1"/>
    </i>
    <i t="grand">
      <x/>
    </i>
  </rowItems>
  <colFields count="1">
    <field x="-2"/>
  </colFields>
  <colItems count="2">
    <i>
      <x/>
    </i>
    <i i="1">
      <x v="1"/>
    </i>
  </colItems>
  <dataFields count="2">
    <dataField name="Sum of Units Ordered" fld="7" baseField="0" baseItem="0"/>
    <dataField name="Sum of Units Sold" fld="6"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F6" firstHeaderRow="1" firstDataRow="2" firstDataCol="1"/>
  <pivotFields count="16">
    <pivotField numFmtId="14" showAll="0"/>
    <pivotField showAll="0"/>
    <pivotField showAll="0"/>
    <pivotField axis="axisRow" showAll="0">
      <items count="6">
        <item h="1" x="4"/>
        <item h="1" x="2"/>
        <item x="3"/>
        <item h="1" x="0"/>
        <item h="1" x="1"/>
        <item t="default"/>
      </items>
    </pivotField>
    <pivotField dataField="1" showAll="0">
      <items count="5">
        <item x="3"/>
        <item x="0"/>
        <item x="1"/>
        <item x="2"/>
        <item t="default"/>
      </items>
    </pivotField>
    <pivotField showAll="0"/>
    <pivotField showAll="0"/>
    <pivotField showAll="0"/>
    <pivotField showAll="0"/>
    <pivotField showAll="0"/>
    <pivotField showAll="0"/>
    <pivotField axis="axisCol" showAll="0">
      <items count="5">
        <item x="2"/>
        <item x="0"/>
        <item x="3"/>
        <item x="1"/>
        <item t="default"/>
      </items>
    </pivotField>
    <pivotField showAll="0"/>
    <pivotField showAll="0"/>
    <pivotField showAll="0">
      <items count="5">
        <item x="0"/>
        <item x="3"/>
        <item x="1"/>
        <item x="2"/>
        <item t="default"/>
      </items>
    </pivotField>
    <pivotField showAll="0" defaultSubtotal="0"/>
  </pivotFields>
  <rowFields count="1">
    <field x="3"/>
  </rowFields>
  <rowItems count="2">
    <i>
      <x v="2"/>
    </i>
    <i t="grand">
      <x/>
    </i>
  </rowItems>
  <colFields count="1">
    <field x="11"/>
  </colFields>
  <colItems count="5">
    <i>
      <x/>
    </i>
    <i>
      <x v="1"/>
    </i>
    <i>
      <x v="2"/>
    </i>
    <i>
      <x v="3"/>
    </i>
    <i t="grand">
      <x/>
    </i>
  </colItems>
  <dataFields count="1">
    <dataField name="Count of Region" fld="4" subtotal="count" baseField="0" baseItem="0"/>
  </dataFields>
  <chartFormats count="32">
    <chartFormat chart="2" format="8" series="1">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2">
          <reference field="4294967294" count="1" selected="0">
            <x v="0"/>
          </reference>
          <reference field="11" count="1" selected="0">
            <x v="1"/>
          </reference>
        </references>
      </pivotArea>
    </chartFormat>
    <chartFormat chart="2" format="10" series="1">
      <pivotArea type="data" outline="0" fieldPosition="0">
        <references count="2">
          <reference field="4294967294" count="1" selected="0">
            <x v="0"/>
          </reference>
          <reference field="11" count="1" selected="0">
            <x v="2"/>
          </reference>
        </references>
      </pivotArea>
    </chartFormat>
    <chartFormat chart="2" format="11" series="1">
      <pivotArea type="data" outline="0" fieldPosition="0">
        <references count="2">
          <reference field="4294967294" count="1" selected="0">
            <x v="0"/>
          </reference>
          <reference field="11" count="1" selected="0">
            <x v="3"/>
          </reference>
        </references>
      </pivotArea>
    </chartFormat>
    <chartFormat chart="4" format="36" series="1">
      <pivotArea type="data" outline="0" fieldPosition="0">
        <references count="2">
          <reference field="4294967294" count="1" selected="0">
            <x v="0"/>
          </reference>
          <reference field="11" count="1" selected="0">
            <x v="0"/>
          </reference>
        </references>
      </pivotArea>
    </chartFormat>
    <chartFormat chart="4" format="37">
      <pivotArea type="data" outline="0" fieldPosition="0">
        <references count="3">
          <reference field="4294967294" count="1" selected="0">
            <x v="0"/>
          </reference>
          <reference field="3" count="1" selected="0">
            <x v="0"/>
          </reference>
          <reference field="11" count="1" selected="0">
            <x v="0"/>
          </reference>
        </references>
      </pivotArea>
    </chartFormat>
    <chartFormat chart="4" format="38">
      <pivotArea type="data" outline="0" fieldPosition="0">
        <references count="3">
          <reference field="4294967294" count="1" selected="0">
            <x v="0"/>
          </reference>
          <reference field="3" count="1" selected="0">
            <x v="1"/>
          </reference>
          <reference field="11" count="1" selected="0">
            <x v="0"/>
          </reference>
        </references>
      </pivotArea>
    </chartFormat>
    <chartFormat chart="4" format="39">
      <pivotArea type="data" outline="0" fieldPosition="0">
        <references count="3">
          <reference field="4294967294" count="1" selected="0">
            <x v="0"/>
          </reference>
          <reference field="3" count="1" selected="0">
            <x v="2"/>
          </reference>
          <reference field="11" count="1" selected="0">
            <x v="0"/>
          </reference>
        </references>
      </pivotArea>
    </chartFormat>
    <chartFormat chart="4" format="40">
      <pivotArea type="data" outline="0" fieldPosition="0">
        <references count="3">
          <reference field="4294967294" count="1" selected="0">
            <x v="0"/>
          </reference>
          <reference field="3" count="1" selected="0">
            <x v="3"/>
          </reference>
          <reference field="11" count="1" selected="0">
            <x v="0"/>
          </reference>
        </references>
      </pivotArea>
    </chartFormat>
    <chartFormat chart="4" format="41">
      <pivotArea type="data" outline="0" fieldPosition="0">
        <references count="3">
          <reference field="4294967294" count="1" selected="0">
            <x v="0"/>
          </reference>
          <reference field="3" count="1" selected="0">
            <x v="4"/>
          </reference>
          <reference field="11" count="1" selected="0">
            <x v="0"/>
          </reference>
        </references>
      </pivotArea>
    </chartFormat>
    <chartFormat chart="4" format="42" series="1">
      <pivotArea type="data" outline="0" fieldPosition="0">
        <references count="2">
          <reference field="4294967294" count="1" selected="0">
            <x v="0"/>
          </reference>
          <reference field="11" count="1" selected="0">
            <x v="1"/>
          </reference>
        </references>
      </pivotArea>
    </chartFormat>
    <chartFormat chart="4" format="43">
      <pivotArea type="data" outline="0" fieldPosition="0">
        <references count="3">
          <reference field="4294967294" count="1" selected="0">
            <x v="0"/>
          </reference>
          <reference field="3" count="1" selected="0">
            <x v="0"/>
          </reference>
          <reference field="11" count="1" selected="0">
            <x v="1"/>
          </reference>
        </references>
      </pivotArea>
    </chartFormat>
    <chartFormat chart="4" format="44">
      <pivotArea type="data" outline="0" fieldPosition="0">
        <references count="3">
          <reference field="4294967294" count="1" selected="0">
            <x v="0"/>
          </reference>
          <reference field="3" count="1" selected="0">
            <x v="1"/>
          </reference>
          <reference field="11" count="1" selected="0">
            <x v="1"/>
          </reference>
        </references>
      </pivotArea>
    </chartFormat>
    <chartFormat chart="4" format="45">
      <pivotArea type="data" outline="0" fieldPosition="0">
        <references count="3">
          <reference field="4294967294" count="1" selected="0">
            <x v="0"/>
          </reference>
          <reference field="3" count="1" selected="0">
            <x v="2"/>
          </reference>
          <reference field="11" count="1" selected="0">
            <x v="1"/>
          </reference>
        </references>
      </pivotArea>
    </chartFormat>
    <chartFormat chart="4" format="46">
      <pivotArea type="data" outline="0" fieldPosition="0">
        <references count="3">
          <reference field="4294967294" count="1" selected="0">
            <x v="0"/>
          </reference>
          <reference field="3" count="1" selected="0">
            <x v="3"/>
          </reference>
          <reference field="11" count="1" selected="0">
            <x v="1"/>
          </reference>
        </references>
      </pivotArea>
    </chartFormat>
    <chartFormat chart="4" format="47">
      <pivotArea type="data" outline="0" fieldPosition="0">
        <references count="3">
          <reference field="4294967294" count="1" selected="0">
            <x v="0"/>
          </reference>
          <reference field="3" count="1" selected="0">
            <x v="4"/>
          </reference>
          <reference field="11" count="1" selected="0">
            <x v="1"/>
          </reference>
        </references>
      </pivotArea>
    </chartFormat>
    <chartFormat chart="4" format="48" series="1">
      <pivotArea type="data" outline="0" fieldPosition="0">
        <references count="2">
          <reference field="4294967294" count="1" selected="0">
            <x v="0"/>
          </reference>
          <reference field="11" count="1" selected="0">
            <x v="2"/>
          </reference>
        </references>
      </pivotArea>
    </chartFormat>
    <chartFormat chart="4" format="49">
      <pivotArea type="data" outline="0" fieldPosition="0">
        <references count="3">
          <reference field="4294967294" count="1" selected="0">
            <x v="0"/>
          </reference>
          <reference field="3" count="1" selected="0">
            <x v="0"/>
          </reference>
          <reference field="11" count="1" selected="0">
            <x v="2"/>
          </reference>
        </references>
      </pivotArea>
    </chartFormat>
    <chartFormat chart="4" format="50">
      <pivotArea type="data" outline="0" fieldPosition="0">
        <references count="3">
          <reference field="4294967294" count="1" selected="0">
            <x v="0"/>
          </reference>
          <reference field="3" count="1" selected="0">
            <x v="1"/>
          </reference>
          <reference field="11" count="1" selected="0">
            <x v="2"/>
          </reference>
        </references>
      </pivotArea>
    </chartFormat>
    <chartFormat chart="4" format="51">
      <pivotArea type="data" outline="0" fieldPosition="0">
        <references count="3">
          <reference field="4294967294" count="1" selected="0">
            <x v="0"/>
          </reference>
          <reference field="3" count="1" selected="0">
            <x v="2"/>
          </reference>
          <reference field="11" count="1" selected="0">
            <x v="2"/>
          </reference>
        </references>
      </pivotArea>
    </chartFormat>
    <chartFormat chart="4" format="52">
      <pivotArea type="data" outline="0" fieldPosition="0">
        <references count="3">
          <reference field="4294967294" count="1" selected="0">
            <x v="0"/>
          </reference>
          <reference field="3" count="1" selected="0">
            <x v="3"/>
          </reference>
          <reference field="11" count="1" selected="0">
            <x v="2"/>
          </reference>
        </references>
      </pivotArea>
    </chartFormat>
    <chartFormat chart="4" format="53">
      <pivotArea type="data" outline="0" fieldPosition="0">
        <references count="3">
          <reference field="4294967294" count="1" selected="0">
            <x v="0"/>
          </reference>
          <reference field="3" count="1" selected="0">
            <x v="4"/>
          </reference>
          <reference field="11" count="1" selected="0">
            <x v="2"/>
          </reference>
        </references>
      </pivotArea>
    </chartFormat>
    <chartFormat chart="4" format="54" series="1">
      <pivotArea type="data" outline="0" fieldPosition="0">
        <references count="2">
          <reference field="4294967294" count="1" selected="0">
            <x v="0"/>
          </reference>
          <reference field="11" count="1" selected="0">
            <x v="3"/>
          </reference>
        </references>
      </pivotArea>
    </chartFormat>
    <chartFormat chart="4" format="55">
      <pivotArea type="data" outline="0" fieldPosition="0">
        <references count="3">
          <reference field="4294967294" count="1" selected="0">
            <x v="0"/>
          </reference>
          <reference field="3" count="1" selected="0">
            <x v="0"/>
          </reference>
          <reference field="11" count="1" selected="0">
            <x v="3"/>
          </reference>
        </references>
      </pivotArea>
    </chartFormat>
    <chartFormat chart="4" format="56">
      <pivotArea type="data" outline="0" fieldPosition="0">
        <references count="3">
          <reference field="4294967294" count="1" selected="0">
            <x v="0"/>
          </reference>
          <reference field="3" count="1" selected="0">
            <x v="1"/>
          </reference>
          <reference field="11" count="1" selected="0">
            <x v="3"/>
          </reference>
        </references>
      </pivotArea>
    </chartFormat>
    <chartFormat chart="4" format="57">
      <pivotArea type="data" outline="0" fieldPosition="0">
        <references count="3">
          <reference field="4294967294" count="1" selected="0">
            <x v="0"/>
          </reference>
          <reference field="3" count="1" selected="0">
            <x v="2"/>
          </reference>
          <reference field="11" count="1" selected="0">
            <x v="3"/>
          </reference>
        </references>
      </pivotArea>
    </chartFormat>
    <chartFormat chart="4" format="58">
      <pivotArea type="data" outline="0" fieldPosition="0">
        <references count="3">
          <reference field="4294967294" count="1" selected="0">
            <x v="0"/>
          </reference>
          <reference field="3" count="1" selected="0">
            <x v="3"/>
          </reference>
          <reference field="11" count="1" selected="0">
            <x v="3"/>
          </reference>
        </references>
      </pivotArea>
    </chartFormat>
    <chartFormat chart="4" format="59">
      <pivotArea type="data" outline="0" fieldPosition="0">
        <references count="3">
          <reference field="4294967294" count="1" selected="0">
            <x v="0"/>
          </reference>
          <reference field="3" count="1" selected="0">
            <x v="4"/>
          </reference>
          <reference field="11" count="1" selected="0">
            <x v="3"/>
          </reference>
        </references>
      </pivotArea>
    </chartFormat>
    <chartFormat chart="2" format="52">
      <pivotArea type="data" outline="0" fieldPosition="0">
        <references count="3">
          <reference field="4294967294" count="1" selected="0">
            <x v="0"/>
          </reference>
          <reference field="3" count="1" selected="0">
            <x v="2"/>
          </reference>
          <reference field="11" count="1" selected="0">
            <x v="0"/>
          </reference>
        </references>
      </pivotArea>
    </chartFormat>
    <chartFormat chart="2" format="53">
      <pivotArea type="data" outline="0" fieldPosition="0">
        <references count="3">
          <reference field="4294967294" count="1" selected="0">
            <x v="0"/>
          </reference>
          <reference field="3" count="1" selected="0">
            <x v="2"/>
          </reference>
          <reference field="11" count="1" selected="0">
            <x v="1"/>
          </reference>
        </references>
      </pivotArea>
    </chartFormat>
    <chartFormat chart="2" format="54">
      <pivotArea type="data" outline="0" fieldPosition="0">
        <references count="3">
          <reference field="4294967294" count="1" selected="0">
            <x v="0"/>
          </reference>
          <reference field="3" count="1" selected="0">
            <x v="2"/>
          </reference>
          <reference field="11" count="1" selected="0">
            <x v="2"/>
          </reference>
        </references>
      </pivotArea>
    </chartFormat>
    <chartFormat chart="2" format="55">
      <pivotArea type="data" outline="0" fieldPosition="0">
        <references count="3">
          <reference field="4294967294" count="1" selected="0">
            <x v="0"/>
          </reference>
          <reference field="3" count="1" selected="0">
            <x v="2"/>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7" firstHeaderRow="1" firstDataRow="1" firstDataCol="1"/>
  <pivotFields count="16">
    <pivotField numFmtId="14" showAll="0"/>
    <pivotField showAll="0"/>
    <pivotField showAll="0"/>
    <pivotField axis="axisRow" showAll="0">
      <items count="6">
        <item h="1" x="4"/>
        <item h="1" x="2"/>
        <item x="3"/>
        <item h="1" x="0"/>
        <item h="1" x="1"/>
        <item t="default"/>
      </items>
    </pivotField>
    <pivotField showAll="0">
      <items count="5">
        <item x="3"/>
        <item x="0"/>
        <item x="1"/>
        <item x="2"/>
        <item t="default"/>
      </items>
    </pivotField>
    <pivotField showAll="0"/>
    <pivotField showAll="0"/>
    <pivotField showAll="0"/>
    <pivotField showAll="0"/>
    <pivotField dataField="1" showAll="0"/>
    <pivotField showAll="0"/>
    <pivotField showAll="0">
      <items count="5">
        <item x="2"/>
        <item x="0"/>
        <item x="3"/>
        <item x="1"/>
        <item t="default"/>
      </items>
    </pivotField>
    <pivotField showAll="0"/>
    <pivotField showAll="0"/>
    <pivotField axis="axisRow" showAll="0">
      <items count="5">
        <item x="0"/>
        <item x="3"/>
        <item x="1"/>
        <item x="2"/>
        <item t="default"/>
      </items>
    </pivotField>
    <pivotField showAll="0" defaultSubtotal="0">
      <items count="2">
        <item x="0"/>
        <item x="1"/>
      </items>
    </pivotField>
  </pivotFields>
  <rowFields count="2">
    <field x="3"/>
    <field x="14"/>
  </rowFields>
  <rowItems count="4">
    <i>
      <x v="2"/>
    </i>
    <i r="1">
      <x v="1"/>
    </i>
    <i r="1">
      <x v="3"/>
    </i>
    <i t="grand">
      <x/>
    </i>
  </rowItems>
  <colItems count="1">
    <i/>
  </colItems>
  <dataFields count="1">
    <dataField name="Sum of Price" fld="9" baseField="0" baseItem="0"/>
  </dataFields>
  <chartFormats count="4">
    <chartFormat chart="5" format="25"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 tabId="7" name="PivotTable1"/>
    <pivotTable tabId="6" name="PivotTable1"/>
    <pivotTable tabId="9" name="PivotTable1"/>
  </pivotTables>
  <data>
    <tabular pivotCacheId="1">
      <items count="5">
        <i x="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9" name="PivotTable1"/>
    <pivotTable tabId="7" name="PivotTable1"/>
    <pivotTable tabId="6" name="PivotTable1"/>
  </pivotTables>
  <data>
    <tabular pivotCacheId="1">
      <items count="4">
        <i x="3" s="1"/>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asonality" sourceName="Seasonality">
  <pivotTables>
    <pivotTable tabId="4" name="PivotTable1"/>
    <pivotTable tabId="9" name="PivotTable1"/>
    <pivotTable tabId="7" name="PivotTable1"/>
    <pivotTable tabId="6" name="PivotTable1"/>
  </pivotTables>
  <data>
    <tabular pivotCacheId="1">
      <items count="4">
        <i x="3" s="1"/>
        <i x="2" s="1"/>
        <i x="0"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 name="Seasonality" cache="Slicer_Seasonality" caption="Seasonality" rowHeight="241300"/>
</slicers>
</file>

<file path=xl/tables/table1.xml><?xml version="1.0" encoding="utf-8"?>
<table xmlns="http://schemas.openxmlformats.org/spreadsheetml/2006/main" id="1" name="Table1" displayName="Table1" ref="A1:P42" totalsRowCount="1" headerRowDxfId="20" totalsRowDxfId="17" headerRowBorderDxfId="19" tableBorderDxfId="18">
  <autoFilter ref="A1:P41"/>
  <tableColumns count="16">
    <tableColumn id="1" name="Date" totalsRowLabel="Total" dataDxfId="16"/>
    <tableColumn id="2" name="Store ID" totalsRowFunction="count" dataDxfId="15"/>
    <tableColumn id="3" name="Product ID" totalsRowFunction="count" dataDxfId="14"/>
    <tableColumn id="4" name="Category" totalsRowFunction="count" dataDxfId="13"/>
    <tableColumn id="5" name="Region" dataDxfId="12"/>
    <tableColumn id="6" name="Inventory Level" totalsRowFunction="average" dataDxfId="11"/>
    <tableColumn id="7" name="Units Sold" totalsRowFunction="sum" dataDxfId="10"/>
    <tableColumn id="8" name="Units Ordered" totalsRowFunction="stdDev" dataDxfId="9"/>
    <tableColumn id="9" name="Demand Forecast" totalsRowFunction="var" dataDxfId="8"/>
    <tableColumn id="10" name="Price" dataDxfId="7"/>
    <tableColumn id="11" name="Discount" dataDxfId="6"/>
    <tableColumn id="12" name="Weather Condition" dataDxfId="5"/>
    <tableColumn id="13" name="Holiday/Promotion" dataDxfId="4"/>
    <tableColumn id="14" name="Competitor Pricing" dataDxfId="3"/>
    <tableColumn id="15" name="Seasonality" totalsRowFunction="count" dataDxfId="2"/>
    <tableColumn id="18" name="Months" totalsRowFunction="count" dataDxfId="1" totalsRowDxfId="0">
      <calculatedColumnFormula>TEXT(Table1[[#This Row],[Date]],"mmmm")</calculatedColumnFormula>
    </tableColumn>
  </tableColumns>
  <tableStyleInfo name="TableStyleLight1"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4" name="PivotTable1"/>
  </pivotTables>
  <state minimalRefreshVersion="6" lastRefreshVersion="6" pivotCacheId="1"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2-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showGridLines="0" showRowColHeaders="0" tabSelected="1" zoomScale="60" zoomScaleNormal="60" workbookViewId="0">
      <selection activeCell="W2" sqref="W2"/>
    </sheetView>
  </sheetViews>
  <sheetFormatPr defaultRowHeight="13.5" x14ac:dyDescent="0.25"/>
  <cols>
    <col min="1" max="3" width="8.6640625" style="19"/>
    <col min="4" max="4" width="8.6640625" style="19" customWidth="1"/>
    <col min="5" max="5" width="93.4140625" style="19" customWidth="1"/>
    <col min="6" max="16384" width="8.6640625" style="19"/>
  </cols>
  <sheetData>
    <row r="2" spans="5:5" s="18" customFormat="1" ht="51.5" x14ac:dyDescent="0.25">
      <c r="E2" s="17" t="s">
        <v>66</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zoomScale="70" zoomScaleNormal="70" workbookViewId="0">
      <selection activeCell="A4" sqref="A4:C4"/>
    </sheetView>
  </sheetViews>
  <sheetFormatPr defaultRowHeight="13.5" x14ac:dyDescent="0.25"/>
  <cols>
    <col min="1" max="1" width="13.5" customWidth="1"/>
    <col min="2" max="2" width="11.5" customWidth="1"/>
    <col min="3" max="3" width="14.83203125" customWidth="1"/>
  </cols>
  <sheetData>
    <row r="3" spans="1:3" x14ac:dyDescent="0.25">
      <c r="A3" s="1" t="s">
        <v>54</v>
      </c>
      <c r="B3" t="s">
        <v>56</v>
      </c>
      <c r="C3" t="s">
        <v>57</v>
      </c>
    </row>
    <row r="4" spans="1:3" x14ac:dyDescent="0.25">
      <c r="A4" s="2" t="s">
        <v>36</v>
      </c>
      <c r="B4" s="4">
        <v>198.74</v>
      </c>
      <c r="C4" s="4">
        <v>60</v>
      </c>
    </row>
    <row r="5" spans="1:3" x14ac:dyDescent="0.25">
      <c r="A5" s="3" t="s">
        <v>32</v>
      </c>
      <c r="B5" s="4">
        <v>54.62</v>
      </c>
      <c r="C5" s="4">
        <v>30</v>
      </c>
    </row>
    <row r="6" spans="1:3" x14ac:dyDescent="0.25">
      <c r="A6" s="3" t="s">
        <v>18</v>
      </c>
      <c r="B6" s="4">
        <v>85.59</v>
      </c>
      <c r="C6" s="4">
        <v>20</v>
      </c>
    </row>
    <row r="7" spans="1:3" x14ac:dyDescent="0.25">
      <c r="A7" s="3" t="s">
        <v>23</v>
      </c>
      <c r="B7" s="4">
        <v>58.53</v>
      </c>
      <c r="C7" s="4">
        <v>10</v>
      </c>
    </row>
    <row r="8" spans="1:3" x14ac:dyDescent="0.25">
      <c r="A8" s="2" t="s">
        <v>55</v>
      </c>
      <c r="B8" s="4">
        <v>198.74</v>
      </c>
      <c r="C8" s="4">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A3" sqref="A3"/>
    </sheetView>
  </sheetViews>
  <sheetFormatPr defaultRowHeight="13.5" x14ac:dyDescent="0.25"/>
  <cols>
    <col min="1" max="1" width="12.83203125" bestFit="1" customWidth="1"/>
    <col min="2" max="2" width="19.4140625" bestFit="1" customWidth="1"/>
    <col min="3" max="3" width="15.58203125" bestFit="1" customWidth="1"/>
  </cols>
  <sheetData>
    <row r="3" spans="1:3" x14ac:dyDescent="0.25">
      <c r="A3" s="1" t="s">
        <v>54</v>
      </c>
      <c r="B3" t="s">
        <v>64</v>
      </c>
      <c r="C3" t="s">
        <v>63</v>
      </c>
    </row>
    <row r="4" spans="1:3" x14ac:dyDescent="0.25">
      <c r="A4" s="2" t="s">
        <v>61</v>
      </c>
      <c r="B4" s="4">
        <v>320</v>
      </c>
      <c r="C4" s="4">
        <v>247</v>
      </c>
    </row>
    <row r="5" spans="1:3" x14ac:dyDescent="0.25">
      <c r="A5" s="2" t="s">
        <v>62</v>
      </c>
      <c r="B5" s="4">
        <v>287</v>
      </c>
      <c r="C5" s="4">
        <v>432</v>
      </c>
    </row>
    <row r="6" spans="1:3" x14ac:dyDescent="0.25">
      <c r="A6" s="2" t="s">
        <v>55</v>
      </c>
      <c r="B6" s="4">
        <v>607</v>
      </c>
      <c r="C6" s="4">
        <v>679</v>
      </c>
    </row>
  </sheetData>
  <sortState columnSort="1" ref="A3:C6">
    <sortCondition ref="B6"/>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
  <sheetViews>
    <sheetView workbookViewId="0">
      <selection activeCell="A3" sqref="A3"/>
    </sheetView>
  </sheetViews>
  <sheetFormatPr defaultRowHeight="13.5" x14ac:dyDescent="0.25"/>
  <cols>
    <col min="1" max="1" width="15" customWidth="1"/>
    <col min="2" max="2" width="16.08203125" customWidth="1"/>
    <col min="3" max="3" width="5.6640625" customWidth="1"/>
    <col min="4" max="4" width="6.5" customWidth="1"/>
    <col min="5" max="5" width="6" customWidth="1"/>
    <col min="6" max="6" width="11.08203125" customWidth="1"/>
  </cols>
  <sheetData>
    <row r="3" spans="1:6" x14ac:dyDescent="0.25">
      <c r="A3" s="1" t="s">
        <v>65</v>
      </c>
      <c r="B3" s="1" t="s">
        <v>59</v>
      </c>
    </row>
    <row r="4" spans="1:6" x14ac:dyDescent="0.25">
      <c r="A4" s="1" t="s">
        <v>54</v>
      </c>
      <c r="B4" t="s">
        <v>29</v>
      </c>
      <c r="C4" t="s">
        <v>19</v>
      </c>
      <c r="D4" t="s">
        <v>44</v>
      </c>
      <c r="E4" t="s">
        <v>24</v>
      </c>
      <c r="F4" t="s">
        <v>55</v>
      </c>
    </row>
    <row r="5" spans="1:6" x14ac:dyDescent="0.25">
      <c r="A5" s="2" t="s">
        <v>36</v>
      </c>
      <c r="B5" s="4">
        <v>1</v>
      </c>
      <c r="C5" s="4">
        <v>1</v>
      </c>
      <c r="D5" s="4">
        <v>1</v>
      </c>
      <c r="E5" s="4">
        <v>1</v>
      </c>
      <c r="F5" s="4">
        <v>4</v>
      </c>
    </row>
    <row r="6" spans="1:6" x14ac:dyDescent="0.25">
      <c r="A6" s="2" t="s">
        <v>55</v>
      </c>
      <c r="B6" s="4">
        <v>1</v>
      </c>
      <c r="C6" s="4">
        <v>1</v>
      </c>
      <c r="D6" s="4">
        <v>1</v>
      </c>
      <c r="E6" s="4">
        <v>1</v>
      </c>
      <c r="F6" s="4">
        <v>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2" sqref="F2"/>
    </sheetView>
  </sheetViews>
  <sheetFormatPr defaultRowHeight="13.5" x14ac:dyDescent="0.25"/>
  <cols>
    <col min="1" max="1" width="12.83203125" customWidth="1"/>
    <col min="2" max="2" width="11.5" customWidth="1"/>
    <col min="3" max="3" width="18.1640625" customWidth="1"/>
    <col min="4" max="4" width="11.1640625" customWidth="1"/>
    <col min="5" max="5" width="18.1640625" customWidth="1"/>
    <col min="6" max="6" width="15.9140625" customWidth="1"/>
    <col min="7" max="7" width="22.9140625" customWidth="1"/>
  </cols>
  <sheetData>
    <row r="3" spans="1:2" x14ac:dyDescent="0.25">
      <c r="A3" s="1" t="s">
        <v>54</v>
      </c>
      <c r="B3" t="s">
        <v>56</v>
      </c>
    </row>
    <row r="4" spans="1:2" x14ac:dyDescent="0.25">
      <c r="A4" s="2" t="s">
        <v>36</v>
      </c>
      <c r="B4" s="4">
        <v>198.74</v>
      </c>
    </row>
    <row r="5" spans="1:2" x14ac:dyDescent="0.25">
      <c r="A5" s="3" t="s">
        <v>39</v>
      </c>
      <c r="B5" s="4">
        <v>78.990000000000009</v>
      </c>
    </row>
    <row r="6" spans="1:2" x14ac:dyDescent="0.25">
      <c r="A6" s="3" t="s">
        <v>34</v>
      </c>
      <c r="B6" s="4">
        <v>119.75</v>
      </c>
    </row>
    <row r="7" spans="1:2" x14ac:dyDescent="0.25">
      <c r="A7" s="2" t="s">
        <v>55</v>
      </c>
      <c r="B7" s="4">
        <v>198.74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6"/>
  <sheetViews>
    <sheetView topLeftCell="O1" zoomScale="110" zoomScaleNormal="110" workbookViewId="0">
      <selection activeCell="V3" sqref="V3"/>
    </sheetView>
  </sheetViews>
  <sheetFormatPr defaultRowHeight="13.5" x14ac:dyDescent="0.25"/>
  <cols>
    <col min="1" max="2" width="9.4140625" customWidth="1"/>
    <col min="3" max="3" width="11.5" customWidth="1"/>
    <col min="4" max="4" width="10.1640625" customWidth="1"/>
    <col min="6" max="6" width="15.4140625" customWidth="1"/>
    <col min="7" max="7" width="11" customWidth="1"/>
    <col min="8" max="8" width="14.5" customWidth="1"/>
    <col min="9" max="9" width="17.33203125" customWidth="1"/>
    <col min="11" max="11" width="10" customWidth="1"/>
    <col min="12" max="12" width="18.58203125" customWidth="1"/>
    <col min="13" max="13" width="18.6640625" customWidth="1"/>
    <col min="14" max="14" width="18.1640625" customWidth="1"/>
    <col min="15" max="15" width="12.1640625" customWidth="1"/>
    <col min="16" max="17" width="11.9140625" customWidth="1"/>
    <col min="18" max="19" width="17.5" bestFit="1" customWidth="1"/>
    <col min="20" max="20" width="8" bestFit="1" customWidth="1"/>
    <col min="21" max="21" width="8.58203125" bestFit="1" customWidth="1"/>
    <col min="22" max="22" width="8.25" bestFit="1" customWidth="1"/>
  </cols>
  <sheetData>
    <row r="1" spans="1:22" x14ac:dyDescent="0.25">
      <c r="A1" s="5" t="s">
        <v>0</v>
      </c>
      <c r="B1" s="6" t="s">
        <v>1</v>
      </c>
      <c r="C1" s="6" t="s">
        <v>2</v>
      </c>
      <c r="D1" s="6" t="s">
        <v>3</v>
      </c>
      <c r="E1" s="6" t="s">
        <v>4</v>
      </c>
      <c r="F1" s="6" t="s">
        <v>5</v>
      </c>
      <c r="G1" s="6" t="s">
        <v>6</v>
      </c>
      <c r="H1" s="6" t="s">
        <v>7</v>
      </c>
      <c r="I1" s="6" t="s">
        <v>8</v>
      </c>
      <c r="J1" s="6" t="s">
        <v>9</v>
      </c>
      <c r="K1" s="6" t="s">
        <v>10</v>
      </c>
      <c r="L1" s="6" t="s">
        <v>11</v>
      </c>
      <c r="M1" s="6" t="s">
        <v>12</v>
      </c>
      <c r="N1" s="6" t="s">
        <v>13</v>
      </c>
      <c r="O1" s="7" t="s">
        <v>14</v>
      </c>
      <c r="P1" s="6" t="s">
        <v>60</v>
      </c>
      <c r="Q1" s="16"/>
    </row>
    <row r="2" spans="1:22" ht="14" x14ac:dyDescent="0.3">
      <c r="A2" s="8">
        <v>44562</v>
      </c>
      <c r="B2" s="9" t="s">
        <v>15</v>
      </c>
      <c r="C2" s="9" t="s">
        <v>16</v>
      </c>
      <c r="D2" s="9" t="s">
        <v>17</v>
      </c>
      <c r="E2" s="9" t="s">
        <v>18</v>
      </c>
      <c r="F2" s="9">
        <v>231</v>
      </c>
      <c r="G2" s="9">
        <v>127</v>
      </c>
      <c r="H2" s="9">
        <v>55</v>
      </c>
      <c r="I2" s="9">
        <v>135.47</v>
      </c>
      <c r="J2" s="9">
        <v>33.5</v>
      </c>
      <c r="K2" s="9">
        <v>20</v>
      </c>
      <c r="L2" s="9" t="s">
        <v>19</v>
      </c>
      <c r="M2" s="9">
        <v>0</v>
      </c>
      <c r="N2" s="9">
        <v>29.69</v>
      </c>
      <c r="O2" s="10" t="s">
        <v>20</v>
      </c>
      <c r="P2" s="6" t="str">
        <f>TEXT(Table1[[#This Row],[Date]],"mmmm")</f>
        <v>January</v>
      </c>
      <c r="Q2" s="16"/>
      <c r="R2" s="15"/>
      <c r="S2" s="15" t="s">
        <v>2</v>
      </c>
      <c r="T2" t="s">
        <v>52</v>
      </c>
      <c r="U2" t="s">
        <v>47</v>
      </c>
      <c r="V2" t="s">
        <v>41</v>
      </c>
    </row>
    <row r="3" spans="1:22" ht="14" x14ac:dyDescent="0.3">
      <c r="A3" s="8">
        <v>44562</v>
      </c>
      <c r="B3" s="9" t="s">
        <v>15</v>
      </c>
      <c r="C3" s="9" t="s">
        <v>21</v>
      </c>
      <c r="D3" s="9" t="s">
        <v>22</v>
      </c>
      <c r="E3" s="9" t="s">
        <v>23</v>
      </c>
      <c r="F3" s="9">
        <v>204</v>
      </c>
      <c r="G3" s="9">
        <v>150</v>
      </c>
      <c r="H3" s="9">
        <v>66</v>
      </c>
      <c r="I3" s="9">
        <v>144.04</v>
      </c>
      <c r="J3" s="9">
        <v>63.01</v>
      </c>
      <c r="K3" s="9">
        <v>20</v>
      </c>
      <c r="L3" s="9" t="s">
        <v>24</v>
      </c>
      <c r="M3" s="9">
        <v>0</v>
      </c>
      <c r="N3" s="9">
        <v>66.16</v>
      </c>
      <c r="O3" s="10" t="s">
        <v>20</v>
      </c>
      <c r="P3" s="9" t="str">
        <f>TEXT(Table1[[#This Row],[Date]],"mmmm")</f>
        <v>January</v>
      </c>
      <c r="Q3" s="16"/>
      <c r="R3" s="15">
        <v>2</v>
      </c>
      <c r="S3" s="15" t="s">
        <v>3</v>
      </c>
      <c r="T3" t="str">
        <f>VLOOKUP($T$2:$V$2,Table1[[#Headers],[#Data],[Product ID]:[Months]],R3,0)</f>
        <v>Toys</v>
      </c>
      <c r="U3" t="str">
        <f>VLOOKUP($T$2:$V$2,Table1[[#Headers],[#Data],[Product ID]:[Months]],R3,0)</f>
        <v>Clothing</v>
      </c>
      <c r="V3" t="str">
        <f>VLOOKUP($T$2:$V$2,Table1[[#Headers],[#Data],[Product ID]:[Months]],R3,0)</f>
        <v>Toys</v>
      </c>
    </row>
    <row r="4" spans="1:22" ht="14" x14ac:dyDescent="0.3">
      <c r="A4" s="8">
        <v>44562</v>
      </c>
      <c r="B4" s="9" t="s">
        <v>15</v>
      </c>
      <c r="C4" s="9" t="s">
        <v>25</v>
      </c>
      <c r="D4" s="9" t="s">
        <v>22</v>
      </c>
      <c r="E4" s="9" t="s">
        <v>26</v>
      </c>
      <c r="F4" s="9">
        <v>102</v>
      </c>
      <c r="G4" s="9">
        <v>65</v>
      </c>
      <c r="H4" s="9">
        <v>51</v>
      </c>
      <c r="I4" s="9">
        <v>74.02</v>
      </c>
      <c r="J4" s="9">
        <v>27.99</v>
      </c>
      <c r="K4" s="9">
        <v>10</v>
      </c>
      <c r="L4" s="9" t="s">
        <v>24</v>
      </c>
      <c r="M4" s="9">
        <v>1</v>
      </c>
      <c r="N4" s="9">
        <v>31.32</v>
      </c>
      <c r="O4" s="10" t="s">
        <v>27</v>
      </c>
      <c r="P4" s="10" t="str">
        <f>TEXT(Table1[[#This Row],[Date]],"mmmm")</f>
        <v>January</v>
      </c>
      <c r="Q4" s="16"/>
      <c r="R4" s="15">
        <v>3</v>
      </c>
      <c r="S4" s="15" t="s">
        <v>4</v>
      </c>
      <c r="T4" t="str">
        <f>VLOOKUP($T$2:$V$2,Table1[[#Headers],[#Data],[Product ID]:[Months]],R4,0)</f>
        <v>East</v>
      </c>
      <c r="U4" t="str">
        <f>VLOOKUP($T$2:$V$2,Table1[[#Headers],[#Data],[Product ID]:[Months]],R4,0)</f>
        <v>North</v>
      </c>
      <c r="V4" t="str">
        <f>VLOOKUP($T$2:$V$2,Table1[[#Headers],[#Data],[Product ID]:[Months]],R4,0)</f>
        <v>South</v>
      </c>
    </row>
    <row r="5" spans="1:22" ht="14" x14ac:dyDescent="0.3">
      <c r="A5" s="8">
        <v>44562</v>
      </c>
      <c r="B5" s="9" t="s">
        <v>15</v>
      </c>
      <c r="C5" s="9" t="s">
        <v>28</v>
      </c>
      <c r="D5" s="9" t="s">
        <v>22</v>
      </c>
      <c r="E5" s="9" t="s">
        <v>18</v>
      </c>
      <c r="F5" s="9">
        <v>469</v>
      </c>
      <c r="G5" s="9">
        <v>61</v>
      </c>
      <c r="H5" s="9">
        <v>164</v>
      </c>
      <c r="I5" s="9">
        <v>62.18</v>
      </c>
      <c r="J5" s="9">
        <v>32.72</v>
      </c>
      <c r="K5" s="9">
        <v>10</v>
      </c>
      <c r="L5" s="9" t="s">
        <v>29</v>
      </c>
      <c r="M5" s="9">
        <v>1</v>
      </c>
      <c r="N5" s="9">
        <v>34.74</v>
      </c>
      <c r="O5" s="10" t="s">
        <v>20</v>
      </c>
      <c r="P5" s="10" t="str">
        <f>TEXT(Table1[[#This Row],[Date]],"mmmm")</f>
        <v>January</v>
      </c>
      <c r="Q5" s="16"/>
      <c r="R5" s="15">
        <v>4</v>
      </c>
      <c r="S5" s="15" t="s">
        <v>5</v>
      </c>
      <c r="T5">
        <f>VLOOKUP($T$2:$V$2,Table1[[#Headers],[#Data],[Product ID]:[Months]],R5,0)</f>
        <v>274</v>
      </c>
      <c r="U5">
        <f>VLOOKUP($T$2:$V$2,Table1[[#Headers],[#Data],[Product ID]:[Months]],R5,0)</f>
        <v>379</v>
      </c>
      <c r="V5">
        <f>VLOOKUP($T$2:$V$2,Table1[[#Headers],[#Data],[Product ID]:[Months]],R5,0)</f>
        <v>108</v>
      </c>
    </row>
    <row r="6" spans="1:22" ht="14" x14ac:dyDescent="0.3">
      <c r="A6" s="8">
        <v>44562</v>
      </c>
      <c r="B6" s="9" t="s">
        <v>15</v>
      </c>
      <c r="C6" s="9" t="s">
        <v>30</v>
      </c>
      <c r="D6" s="9" t="s">
        <v>31</v>
      </c>
      <c r="E6" s="9" t="s">
        <v>32</v>
      </c>
      <c r="F6" s="9">
        <v>166</v>
      </c>
      <c r="G6" s="9">
        <v>14</v>
      </c>
      <c r="H6" s="9">
        <v>135</v>
      </c>
      <c r="I6" s="9">
        <v>9.26</v>
      </c>
      <c r="J6" s="9">
        <v>73.64</v>
      </c>
      <c r="K6" s="9">
        <v>0</v>
      </c>
      <c r="L6" s="9" t="s">
        <v>24</v>
      </c>
      <c r="M6" s="9">
        <v>0</v>
      </c>
      <c r="N6" s="9">
        <v>68.95</v>
      </c>
      <c r="O6" s="10" t="s">
        <v>27</v>
      </c>
      <c r="P6" s="10" t="str">
        <f>TEXT(Table1[[#This Row],[Date]],"mmmm")</f>
        <v>January</v>
      </c>
      <c r="Q6" s="16"/>
      <c r="R6" s="15">
        <v>5</v>
      </c>
      <c r="S6" s="15" t="s">
        <v>6</v>
      </c>
      <c r="T6">
        <f>VLOOKUP($T$2:$V$2,Table1[[#Headers],[#Data],[Product ID]:[Months]],R6,0)</f>
        <v>99</v>
      </c>
      <c r="U6">
        <f>VLOOKUP($T$2:$V$2,Table1[[#Headers],[#Data],[Product ID]:[Months]],R6,0)</f>
        <v>369</v>
      </c>
      <c r="V6">
        <f>VLOOKUP($T$2:$V$2,Table1[[#Headers],[#Data],[Product ID]:[Months]],R6,0)</f>
        <v>28</v>
      </c>
    </row>
    <row r="7" spans="1:22" ht="14" x14ac:dyDescent="0.3">
      <c r="A7" s="8">
        <v>44562</v>
      </c>
      <c r="B7" s="9" t="s">
        <v>15</v>
      </c>
      <c r="C7" s="9" t="s">
        <v>33</v>
      </c>
      <c r="D7" s="9" t="s">
        <v>17</v>
      </c>
      <c r="E7" s="9" t="s">
        <v>23</v>
      </c>
      <c r="F7" s="9">
        <v>138</v>
      </c>
      <c r="G7" s="9">
        <v>128</v>
      </c>
      <c r="H7" s="9">
        <v>102</v>
      </c>
      <c r="I7" s="9">
        <v>139.82</v>
      </c>
      <c r="J7" s="9">
        <v>76.83</v>
      </c>
      <c r="K7" s="9">
        <v>10</v>
      </c>
      <c r="L7" s="9" t="s">
        <v>24</v>
      </c>
      <c r="M7" s="9">
        <v>1</v>
      </c>
      <c r="N7" s="9">
        <v>79.349999999999994</v>
      </c>
      <c r="O7" s="10" t="s">
        <v>34</v>
      </c>
      <c r="P7" s="10" t="str">
        <f>TEXT(Table1[[#This Row],[Date]],"mmmm")</f>
        <v>January</v>
      </c>
      <c r="Q7" s="16"/>
      <c r="R7" s="15">
        <v>6</v>
      </c>
      <c r="S7" s="15" t="s">
        <v>7</v>
      </c>
      <c r="T7">
        <f>VLOOKUP($T$2:$V$2,Table1[[#Headers],[#Data],[Product ID]:[Months]],R7,0)</f>
        <v>166</v>
      </c>
      <c r="U7">
        <f>VLOOKUP($T$2:$V$2,Table1[[#Headers],[#Data],[Product ID]:[Months]],R7,0)</f>
        <v>154</v>
      </c>
      <c r="V7">
        <f>VLOOKUP($T$2:$V$2,Table1[[#Headers],[#Data],[Product ID]:[Months]],R7,0)</f>
        <v>196</v>
      </c>
    </row>
    <row r="8" spans="1:22" ht="14" x14ac:dyDescent="0.3">
      <c r="A8" s="8">
        <v>44573</v>
      </c>
      <c r="B8" s="9" t="s">
        <v>15</v>
      </c>
      <c r="C8" s="9" t="s">
        <v>35</v>
      </c>
      <c r="D8" s="9" t="s">
        <v>36</v>
      </c>
      <c r="E8" s="9" t="s">
        <v>32</v>
      </c>
      <c r="F8" s="9">
        <v>359</v>
      </c>
      <c r="G8" s="9">
        <v>97</v>
      </c>
      <c r="H8" s="9">
        <v>167</v>
      </c>
      <c r="I8" s="9">
        <v>108.92</v>
      </c>
      <c r="J8" s="9">
        <v>34.159999999999997</v>
      </c>
      <c r="K8" s="9">
        <v>10</v>
      </c>
      <c r="L8" s="9" t="s">
        <v>19</v>
      </c>
      <c r="M8" s="9">
        <v>1</v>
      </c>
      <c r="N8" s="9">
        <v>36.549999999999997</v>
      </c>
      <c r="O8" s="10" t="s">
        <v>34</v>
      </c>
      <c r="P8" s="10" t="str">
        <f>TEXT(Table1[[#This Row],[Date]],"mmmm")</f>
        <v>January</v>
      </c>
      <c r="Q8" s="16"/>
      <c r="R8" s="15">
        <v>7</v>
      </c>
      <c r="S8" s="15" t="s">
        <v>8</v>
      </c>
      <c r="T8">
        <f>VLOOKUP($T$2:$V$2,Table1[[#Headers],[#Data],[Product ID]:[Months]],R8,0)</f>
        <v>115.23</v>
      </c>
      <c r="U8">
        <f>VLOOKUP($T$2:$V$2,Table1[[#Headers],[#Data],[Product ID]:[Months]],R8,0)</f>
        <v>363.46</v>
      </c>
      <c r="V8">
        <f>VLOOKUP($T$2:$V$2,Table1[[#Headers],[#Data],[Product ID]:[Months]],R8,0)</f>
        <v>24.47</v>
      </c>
    </row>
    <row r="9" spans="1:22" ht="14" x14ac:dyDescent="0.3">
      <c r="A9" s="8">
        <v>44573</v>
      </c>
      <c r="B9" s="9" t="s">
        <v>15</v>
      </c>
      <c r="C9" s="9" t="s">
        <v>37</v>
      </c>
      <c r="D9" s="9" t="s">
        <v>38</v>
      </c>
      <c r="E9" s="9" t="s">
        <v>18</v>
      </c>
      <c r="F9" s="9">
        <v>380</v>
      </c>
      <c r="G9" s="9">
        <v>312</v>
      </c>
      <c r="H9" s="9">
        <v>54</v>
      </c>
      <c r="I9" s="9">
        <v>329.73</v>
      </c>
      <c r="J9" s="9">
        <v>97.99</v>
      </c>
      <c r="K9" s="9">
        <v>5</v>
      </c>
      <c r="L9" s="9" t="s">
        <v>29</v>
      </c>
      <c r="M9" s="9">
        <v>0</v>
      </c>
      <c r="N9" s="9">
        <v>100.09</v>
      </c>
      <c r="O9" s="10" t="s">
        <v>39</v>
      </c>
      <c r="P9" s="10" t="str">
        <f>TEXT(Table1[[#This Row],[Date]],"mmmm")</f>
        <v>January</v>
      </c>
      <c r="Q9" s="16"/>
      <c r="R9" s="15">
        <v>8</v>
      </c>
      <c r="S9" s="15" t="s">
        <v>9</v>
      </c>
      <c r="T9">
        <f>VLOOKUP($T$2:$V$2,Table1[[#Headers],[#Data],[Product ID]:[Months]],R9,0)</f>
        <v>30.24</v>
      </c>
      <c r="U9">
        <f>VLOOKUP($T$2:$V$2,Table1[[#Headers],[#Data],[Product ID]:[Months]],R9,0)</f>
        <v>92.99</v>
      </c>
      <c r="V9">
        <f>VLOOKUP($T$2:$V$2,Table1[[#Headers],[#Data],[Product ID]:[Months]],R9,0)</f>
        <v>59.99</v>
      </c>
    </row>
    <row r="10" spans="1:22" ht="14" x14ac:dyDescent="0.3">
      <c r="A10" s="8">
        <v>44573</v>
      </c>
      <c r="B10" s="9" t="s">
        <v>15</v>
      </c>
      <c r="C10" s="9" t="s">
        <v>40</v>
      </c>
      <c r="D10" s="9" t="s">
        <v>31</v>
      </c>
      <c r="E10" s="9" t="s">
        <v>26</v>
      </c>
      <c r="F10" s="9">
        <v>183</v>
      </c>
      <c r="G10" s="9">
        <v>175</v>
      </c>
      <c r="H10" s="9">
        <v>135</v>
      </c>
      <c r="I10" s="9">
        <v>174.15</v>
      </c>
      <c r="J10" s="9">
        <v>20.74</v>
      </c>
      <c r="K10" s="9">
        <v>10</v>
      </c>
      <c r="L10" s="9" t="s">
        <v>29</v>
      </c>
      <c r="M10" s="9">
        <v>0</v>
      </c>
      <c r="N10" s="9">
        <v>17.66</v>
      </c>
      <c r="O10" s="10" t="s">
        <v>20</v>
      </c>
      <c r="P10" s="10" t="str">
        <f>TEXT(Table1[[#This Row],[Date]],"mmmm")</f>
        <v>January</v>
      </c>
      <c r="Q10" s="16"/>
      <c r="R10" s="15">
        <v>9</v>
      </c>
      <c r="S10" s="15" t="s">
        <v>10</v>
      </c>
      <c r="T10">
        <f>VLOOKUP($T$2:$V$2,Table1[[#Headers],[#Data],[Product ID]:[Months]],R10,0)</f>
        <v>5</v>
      </c>
      <c r="U10">
        <f>VLOOKUP($T$2:$V$2,Table1[[#Headers],[#Data],[Product ID]:[Months]],R10,0)</f>
        <v>15</v>
      </c>
      <c r="V10">
        <f>VLOOKUP($T$2:$V$2,Table1[[#Headers],[#Data],[Product ID]:[Months]],R10,0)</f>
        <v>0</v>
      </c>
    </row>
    <row r="11" spans="1:22" ht="14" x14ac:dyDescent="0.3">
      <c r="A11" s="8">
        <v>44574</v>
      </c>
      <c r="B11" s="9" t="s">
        <v>15</v>
      </c>
      <c r="C11" s="9" t="s">
        <v>41</v>
      </c>
      <c r="D11" s="9" t="s">
        <v>22</v>
      </c>
      <c r="E11" s="9" t="s">
        <v>23</v>
      </c>
      <c r="F11" s="9">
        <v>108</v>
      </c>
      <c r="G11" s="9">
        <v>28</v>
      </c>
      <c r="H11" s="9">
        <v>196</v>
      </c>
      <c r="I11" s="9">
        <v>24.47</v>
      </c>
      <c r="J11" s="9">
        <v>59.99</v>
      </c>
      <c r="K11" s="9">
        <v>0</v>
      </c>
      <c r="L11" s="9" t="s">
        <v>19</v>
      </c>
      <c r="M11" s="9">
        <v>1</v>
      </c>
      <c r="N11" s="9">
        <v>61.21</v>
      </c>
      <c r="O11" s="10" t="s">
        <v>34</v>
      </c>
      <c r="P11" s="10" t="str">
        <f>TEXT(Table1[[#This Row],[Date]],"mmmm")</f>
        <v>January</v>
      </c>
      <c r="Q11" s="16"/>
      <c r="R11" s="15">
        <v>10</v>
      </c>
      <c r="S11" s="15" t="s">
        <v>11</v>
      </c>
      <c r="T11" t="str">
        <f>VLOOKUP($T$2:$V$2,Table1[[#Headers],[#Data],[Product ID]:[Months]],R11,0)</f>
        <v>Cloudy</v>
      </c>
      <c r="U11" t="str">
        <f>VLOOKUP($T$2:$V$2,Table1[[#Headers],[#Data],[Product ID]:[Months]],R11,0)</f>
        <v>Snowy</v>
      </c>
      <c r="V11" t="str">
        <f>VLOOKUP($T$2:$V$2,Table1[[#Headers],[#Data],[Product ID]:[Months]],R11,0)</f>
        <v>Rainy</v>
      </c>
    </row>
    <row r="12" spans="1:22" ht="14" x14ac:dyDescent="0.3">
      <c r="A12" s="8">
        <v>44574</v>
      </c>
      <c r="B12" s="9" t="s">
        <v>15</v>
      </c>
      <c r="C12" s="9" t="s">
        <v>42</v>
      </c>
      <c r="D12" s="9" t="s">
        <v>36</v>
      </c>
      <c r="E12" s="9" t="s">
        <v>23</v>
      </c>
      <c r="F12" s="9">
        <v>258</v>
      </c>
      <c r="G12" s="9">
        <v>150</v>
      </c>
      <c r="H12" s="9">
        <v>153</v>
      </c>
      <c r="I12" s="9">
        <v>152.74</v>
      </c>
      <c r="J12" s="9">
        <v>58.53</v>
      </c>
      <c r="K12" s="9">
        <v>10</v>
      </c>
      <c r="L12" s="9" t="s">
        <v>24</v>
      </c>
      <c r="M12" s="9">
        <v>1</v>
      </c>
      <c r="N12" s="9">
        <v>61.42</v>
      </c>
      <c r="O12" s="10" t="s">
        <v>39</v>
      </c>
      <c r="P12" s="10" t="str">
        <f>TEXT(Table1[[#This Row],[Date]],"mmmm")</f>
        <v>January</v>
      </c>
      <c r="Q12" s="16"/>
      <c r="R12" s="15">
        <v>11</v>
      </c>
      <c r="S12" s="15" t="s">
        <v>12</v>
      </c>
      <c r="T12">
        <f>VLOOKUP($T$2:$V$2,Table1[[#Headers],[#Data],[Product ID]:[Months]],R12,0)</f>
        <v>0</v>
      </c>
      <c r="U12">
        <f>VLOOKUP($T$2:$V$2,Table1[[#Headers],[#Data],[Product ID]:[Months]],R12,0)</f>
        <v>0</v>
      </c>
      <c r="V12">
        <f>VLOOKUP($T$2:$V$2,Table1[[#Headers],[#Data],[Product ID]:[Months]],R12,0)</f>
        <v>1</v>
      </c>
    </row>
    <row r="13" spans="1:22" ht="14" x14ac:dyDescent="0.3">
      <c r="A13" s="8">
        <v>44577</v>
      </c>
      <c r="B13" s="9" t="s">
        <v>15</v>
      </c>
      <c r="C13" s="9" t="s">
        <v>43</v>
      </c>
      <c r="D13" s="9" t="s">
        <v>38</v>
      </c>
      <c r="E13" s="9" t="s">
        <v>26</v>
      </c>
      <c r="F13" s="9">
        <v>66</v>
      </c>
      <c r="G13" s="9">
        <v>24</v>
      </c>
      <c r="H13" s="9">
        <v>70</v>
      </c>
      <c r="I13" s="9">
        <v>26.75</v>
      </c>
      <c r="J13" s="9">
        <v>58.25</v>
      </c>
      <c r="K13" s="9">
        <v>20</v>
      </c>
      <c r="L13" s="9" t="s">
        <v>44</v>
      </c>
      <c r="M13" s="9">
        <v>0</v>
      </c>
      <c r="N13" s="9">
        <v>62.21</v>
      </c>
      <c r="O13" s="10" t="s">
        <v>39</v>
      </c>
      <c r="P13" s="10" t="str">
        <f>TEXT(Table1[[#This Row],[Date]],"mmmm")</f>
        <v>January</v>
      </c>
      <c r="Q13" s="16"/>
      <c r="R13" s="15">
        <v>12</v>
      </c>
      <c r="S13" s="15" t="s">
        <v>13</v>
      </c>
      <c r="T13">
        <f>VLOOKUP($T$2:$V$2,Table1[[#Headers],[#Data],[Product ID]:[Months]],R13,0)</f>
        <v>27.1</v>
      </c>
      <c r="U13">
        <f>VLOOKUP($T$2:$V$2,Table1[[#Headers],[#Data],[Product ID]:[Months]],R13,0)</f>
        <v>95.8</v>
      </c>
      <c r="V13">
        <f>VLOOKUP($T$2:$V$2,Table1[[#Headers],[#Data],[Product ID]:[Months]],R13,0)</f>
        <v>61.21</v>
      </c>
    </row>
    <row r="14" spans="1:22" ht="14" x14ac:dyDescent="0.3">
      <c r="A14" s="8">
        <v>44577</v>
      </c>
      <c r="B14" s="9" t="s">
        <v>15</v>
      </c>
      <c r="C14" s="9" t="s">
        <v>45</v>
      </c>
      <c r="D14" s="9" t="s">
        <v>22</v>
      </c>
      <c r="E14" s="9" t="s">
        <v>23</v>
      </c>
      <c r="F14" s="9">
        <v>96</v>
      </c>
      <c r="G14" s="9">
        <v>42</v>
      </c>
      <c r="H14" s="9">
        <v>85</v>
      </c>
      <c r="I14" s="9">
        <v>41.46</v>
      </c>
      <c r="J14" s="9">
        <v>43.6</v>
      </c>
      <c r="K14" s="9">
        <v>0</v>
      </c>
      <c r="L14" s="9" t="s">
        <v>29</v>
      </c>
      <c r="M14" s="9">
        <v>0</v>
      </c>
      <c r="N14" s="9">
        <v>46.31</v>
      </c>
      <c r="O14" s="10" t="s">
        <v>39</v>
      </c>
      <c r="P14" s="10" t="str">
        <f>TEXT(Table1[[#This Row],[Date]],"mmmm")</f>
        <v>January</v>
      </c>
      <c r="Q14" s="16"/>
      <c r="R14" s="15">
        <v>13</v>
      </c>
      <c r="S14" s="15" t="s">
        <v>14</v>
      </c>
      <c r="T14" t="str">
        <f>VLOOKUP($T$2:$V$2,Table1[[#Headers],[#Data],[Product ID]:[Months]],R14,0)</f>
        <v>Spring</v>
      </c>
      <c r="U14" t="str">
        <f>VLOOKUP($T$2:$V$2,Table1[[#Headers],[#Data],[Product ID]:[Months]],R14,0)</f>
        <v>Winter</v>
      </c>
      <c r="V14" t="str">
        <f>VLOOKUP($T$2:$V$2,Table1[[#Headers],[#Data],[Product ID]:[Months]],R14,0)</f>
        <v>Winter</v>
      </c>
    </row>
    <row r="15" spans="1:22" ht="14" x14ac:dyDescent="0.3">
      <c r="A15" s="8">
        <v>44577</v>
      </c>
      <c r="B15" s="9" t="s">
        <v>15</v>
      </c>
      <c r="C15" s="9" t="s">
        <v>46</v>
      </c>
      <c r="D15" s="9" t="s">
        <v>38</v>
      </c>
      <c r="E15" s="9" t="s">
        <v>26</v>
      </c>
      <c r="F15" s="9">
        <v>193</v>
      </c>
      <c r="G15" s="9">
        <v>12</v>
      </c>
      <c r="H15" s="9">
        <v>187</v>
      </c>
      <c r="I15" s="9">
        <v>6.8</v>
      </c>
      <c r="J15" s="9">
        <v>78.11</v>
      </c>
      <c r="K15" s="9">
        <v>0</v>
      </c>
      <c r="L15" s="9" t="s">
        <v>24</v>
      </c>
      <c r="M15" s="9">
        <v>0</v>
      </c>
      <c r="N15" s="9">
        <v>80.06</v>
      </c>
      <c r="O15" s="10" t="s">
        <v>39</v>
      </c>
      <c r="P15" s="10" t="str">
        <f>TEXT(Table1[[#This Row],[Date]],"mmmm")</f>
        <v>January</v>
      </c>
      <c r="Q15" s="16"/>
      <c r="R15" s="15">
        <v>14</v>
      </c>
      <c r="S15" s="15" t="s">
        <v>60</v>
      </c>
      <c r="T15" t="str">
        <f>VLOOKUP($T$2:$V$2,Table1[[#Headers],[#Data],[Product ID]:[Months]],R15,0)</f>
        <v>January</v>
      </c>
      <c r="U15" t="str">
        <f>VLOOKUP($T$2:$V$2,Table1[[#Headers],[#Data],[Product ID]:[Months]],R15,0)</f>
        <v>January</v>
      </c>
      <c r="V15" t="str">
        <f>VLOOKUP($T$2:$V$2,Table1[[#Headers],[#Data],[Product ID]:[Months]],R15,0)</f>
        <v>January</v>
      </c>
    </row>
    <row r="16" spans="1:22" ht="14" x14ac:dyDescent="0.3">
      <c r="A16" s="8">
        <v>44577</v>
      </c>
      <c r="B16" s="9" t="s">
        <v>15</v>
      </c>
      <c r="C16" s="9" t="s">
        <v>47</v>
      </c>
      <c r="D16" s="9" t="s">
        <v>38</v>
      </c>
      <c r="E16" s="9" t="s">
        <v>18</v>
      </c>
      <c r="F16" s="9">
        <v>379</v>
      </c>
      <c r="G16" s="9">
        <v>369</v>
      </c>
      <c r="H16" s="9">
        <v>154</v>
      </c>
      <c r="I16" s="9">
        <v>363.46</v>
      </c>
      <c r="J16" s="9">
        <v>92.99</v>
      </c>
      <c r="K16" s="9">
        <v>15</v>
      </c>
      <c r="L16" s="9" t="s">
        <v>44</v>
      </c>
      <c r="M16" s="9">
        <v>0</v>
      </c>
      <c r="N16" s="9">
        <v>95.8</v>
      </c>
      <c r="O16" s="10" t="s">
        <v>34</v>
      </c>
      <c r="P16" s="10" t="str">
        <f>TEXT(Table1[[#This Row],[Date]],"mmmm")</f>
        <v>January</v>
      </c>
      <c r="Q16" s="16"/>
      <c r="R16" s="15"/>
      <c r="S16" s="16"/>
    </row>
    <row r="17" spans="1:19" ht="14" x14ac:dyDescent="0.3">
      <c r="A17" s="8">
        <v>44581</v>
      </c>
      <c r="B17" s="9" t="s">
        <v>15</v>
      </c>
      <c r="C17" s="9" t="s">
        <v>48</v>
      </c>
      <c r="D17" s="9" t="s">
        <v>31</v>
      </c>
      <c r="E17" s="9" t="s">
        <v>18</v>
      </c>
      <c r="F17" s="9">
        <v>363</v>
      </c>
      <c r="G17" s="9">
        <v>255</v>
      </c>
      <c r="H17" s="9">
        <v>69</v>
      </c>
      <c r="I17" s="9">
        <v>255.74</v>
      </c>
      <c r="J17" s="9">
        <v>21.9</v>
      </c>
      <c r="K17" s="9">
        <v>5</v>
      </c>
      <c r="L17" s="9" t="s">
        <v>29</v>
      </c>
      <c r="M17" s="9">
        <v>1</v>
      </c>
      <c r="N17" s="9">
        <v>20.27</v>
      </c>
      <c r="O17" s="10" t="s">
        <v>20</v>
      </c>
      <c r="P17" s="10" t="str">
        <f>TEXT(Table1[[#This Row],[Date]],"mmmm")</f>
        <v>January</v>
      </c>
      <c r="Q17" s="16"/>
      <c r="R17" s="15"/>
      <c r="S17" s="16"/>
    </row>
    <row r="18" spans="1:19" x14ac:dyDescent="0.25">
      <c r="A18" s="8">
        <v>44581</v>
      </c>
      <c r="B18" s="9" t="s">
        <v>15</v>
      </c>
      <c r="C18" s="9" t="s">
        <v>49</v>
      </c>
      <c r="D18" s="9" t="s">
        <v>22</v>
      </c>
      <c r="E18" s="9" t="s">
        <v>26</v>
      </c>
      <c r="F18" s="9">
        <v>318</v>
      </c>
      <c r="G18" s="9">
        <v>246</v>
      </c>
      <c r="H18" s="9">
        <v>177</v>
      </c>
      <c r="I18" s="9">
        <v>255.37</v>
      </c>
      <c r="J18" s="9">
        <v>21.07</v>
      </c>
      <c r="K18" s="9">
        <v>20</v>
      </c>
      <c r="L18" s="9" t="s">
        <v>24</v>
      </c>
      <c r="M18" s="9">
        <v>0</v>
      </c>
      <c r="N18" s="9">
        <v>16.489999999999998</v>
      </c>
      <c r="O18" s="10" t="s">
        <v>34</v>
      </c>
      <c r="P18" s="9" t="str">
        <f>TEXT(Table1[[#This Row],[Date]],"mmmm")</f>
        <v>January</v>
      </c>
      <c r="Q18" s="16"/>
    </row>
    <row r="19" spans="1:19" x14ac:dyDescent="0.25">
      <c r="A19" s="8">
        <v>44582</v>
      </c>
      <c r="B19" s="9" t="s">
        <v>15</v>
      </c>
      <c r="C19" s="9" t="s">
        <v>50</v>
      </c>
      <c r="D19" s="9" t="s">
        <v>38</v>
      </c>
      <c r="E19" s="9" t="s">
        <v>23</v>
      </c>
      <c r="F19" s="9">
        <v>241</v>
      </c>
      <c r="G19" s="9">
        <v>151</v>
      </c>
      <c r="H19" s="9">
        <v>47</v>
      </c>
      <c r="I19" s="9">
        <v>147.27000000000001</v>
      </c>
      <c r="J19" s="9">
        <v>19.57</v>
      </c>
      <c r="K19" s="9">
        <v>5</v>
      </c>
      <c r="L19" s="9" t="s">
        <v>29</v>
      </c>
      <c r="M19" s="9">
        <v>0</v>
      </c>
      <c r="N19" s="9">
        <v>23.13</v>
      </c>
      <c r="O19" s="10" t="s">
        <v>20</v>
      </c>
      <c r="P19" s="9" t="str">
        <f>TEXT(Table1[[#This Row],[Date]],"mmmm")</f>
        <v>January</v>
      </c>
      <c r="Q19" s="16"/>
    </row>
    <row r="20" spans="1:19" x14ac:dyDescent="0.25">
      <c r="A20" s="8">
        <v>44582</v>
      </c>
      <c r="B20" s="9" t="s">
        <v>15</v>
      </c>
      <c r="C20" s="9" t="s">
        <v>51</v>
      </c>
      <c r="D20" s="9" t="s">
        <v>38</v>
      </c>
      <c r="E20" s="9" t="s">
        <v>32</v>
      </c>
      <c r="F20" s="9">
        <v>352</v>
      </c>
      <c r="G20" s="9">
        <v>257</v>
      </c>
      <c r="H20" s="9">
        <v>186</v>
      </c>
      <c r="I20" s="9">
        <v>267.38</v>
      </c>
      <c r="J20" s="9">
        <v>73.28</v>
      </c>
      <c r="K20" s="9">
        <v>10</v>
      </c>
      <c r="L20" s="9" t="s">
        <v>29</v>
      </c>
      <c r="M20" s="9">
        <v>0</v>
      </c>
      <c r="N20" s="9">
        <v>77.260000000000005</v>
      </c>
      <c r="O20" s="10" t="s">
        <v>34</v>
      </c>
      <c r="P20" s="9" t="str">
        <f>TEXT(Table1[[#This Row],[Date]],"mmmm")</f>
        <v>January</v>
      </c>
      <c r="Q20" s="16"/>
    </row>
    <row r="21" spans="1:19" x14ac:dyDescent="0.25">
      <c r="A21" s="8">
        <v>44582</v>
      </c>
      <c r="B21" s="9" t="s">
        <v>15</v>
      </c>
      <c r="C21" s="9" t="s">
        <v>52</v>
      </c>
      <c r="D21" s="9" t="s">
        <v>22</v>
      </c>
      <c r="E21" s="9" t="s">
        <v>32</v>
      </c>
      <c r="F21" s="9">
        <v>274</v>
      </c>
      <c r="G21" s="9">
        <v>99</v>
      </c>
      <c r="H21" s="9">
        <v>166</v>
      </c>
      <c r="I21" s="9">
        <v>115.23</v>
      </c>
      <c r="J21" s="9">
        <v>30.24</v>
      </c>
      <c r="K21" s="9">
        <v>5</v>
      </c>
      <c r="L21" s="9" t="s">
        <v>29</v>
      </c>
      <c r="M21" s="9">
        <v>0</v>
      </c>
      <c r="N21" s="9">
        <v>27.1</v>
      </c>
      <c r="O21" s="10" t="s">
        <v>39</v>
      </c>
      <c r="P21" s="9" t="str">
        <f>TEXT(Table1[[#This Row],[Date]],"mmmm")</f>
        <v>January</v>
      </c>
      <c r="Q21" s="16"/>
    </row>
    <row r="22" spans="1:19" x14ac:dyDescent="0.25">
      <c r="A22" s="8">
        <v>44583</v>
      </c>
      <c r="B22" s="9" t="s">
        <v>53</v>
      </c>
      <c r="C22" s="9" t="s">
        <v>16</v>
      </c>
      <c r="D22" s="9" t="s">
        <v>17</v>
      </c>
      <c r="E22" s="9" t="s">
        <v>23</v>
      </c>
      <c r="F22" s="9">
        <v>343</v>
      </c>
      <c r="G22" s="9">
        <v>104</v>
      </c>
      <c r="H22" s="9">
        <v>144</v>
      </c>
      <c r="I22" s="9">
        <v>112.55</v>
      </c>
      <c r="J22" s="9">
        <v>32.799999999999997</v>
      </c>
      <c r="K22" s="9">
        <v>20</v>
      </c>
      <c r="L22" s="9" t="s">
        <v>24</v>
      </c>
      <c r="M22" s="9">
        <v>1</v>
      </c>
      <c r="N22" s="9">
        <v>30.78</v>
      </c>
      <c r="O22" s="10" t="s">
        <v>39</v>
      </c>
      <c r="P22" s="9" t="str">
        <f>TEXT(Table1[[#This Row],[Date]],"mmmm")</f>
        <v>January</v>
      </c>
      <c r="Q22" s="16"/>
    </row>
    <row r="23" spans="1:19" x14ac:dyDescent="0.25">
      <c r="A23" s="8">
        <v>44593</v>
      </c>
      <c r="B23" s="9" t="s">
        <v>53</v>
      </c>
      <c r="C23" s="9" t="s">
        <v>21</v>
      </c>
      <c r="D23" s="9" t="s">
        <v>38</v>
      </c>
      <c r="E23" s="9" t="s">
        <v>26</v>
      </c>
      <c r="F23" s="9">
        <v>373</v>
      </c>
      <c r="G23" s="9">
        <v>141</v>
      </c>
      <c r="H23" s="9">
        <v>151</v>
      </c>
      <c r="I23" s="9">
        <v>135.62</v>
      </c>
      <c r="J23" s="9">
        <v>46.16</v>
      </c>
      <c r="K23" s="9">
        <v>10</v>
      </c>
      <c r="L23" s="9" t="s">
        <v>19</v>
      </c>
      <c r="M23" s="9">
        <v>1</v>
      </c>
      <c r="N23" s="9">
        <v>45.21</v>
      </c>
      <c r="O23" s="10" t="s">
        <v>34</v>
      </c>
      <c r="P23" s="9" t="str">
        <f>TEXT(Table1[[#This Row],[Date]],"mmmm")</f>
        <v>February</v>
      </c>
      <c r="Q23" s="16"/>
    </row>
    <row r="24" spans="1:19" x14ac:dyDescent="0.25">
      <c r="A24" s="8">
        <v>44593</v>
      </c>
      <c r="B24" s="9" t="s">
        <v>53</v>
      </c>
      <c r="C24" s="9" t="s">
        <v>25</v>
      </c>
      <c r="D24" s="9" t="s">
        <v>36</v>
      </c>
      <c r="E24" s="9" t="s">
        <v>32</v>
      </c>
      <c r="F24" s="9">
        <v>445</v>
      </c>
      <c r="G24" s="9">
        <v>182</v>
      </c>
      <c r="H24" s="9">
        <v>119</v>
      </c>
      <c r="I24" s="9">
        <v>176.31</v>
      </c>
      <c r="J24" s="9">
        <v>20.46</v>
      </c>
      <c r="K24" s="9">
        <v>20</v>
      </c>
      <c r="L24" s="9" t="s">
        <v>44</v>
      </c>
      <c r="M24" s="9">
        <v>1</v>
      </c>
      <c r="N24" s="9">
        <v>22</v>
      </c>
      <c r="O24" s="10" t="s">
        <v>39</v>
      </c>
      <c r="P24" s="9" t="str">
        <f>TEXT(Table1[[#This Row],[Date]],"mmmm")</f>
        <v>February</v>
      </c>
      <c r="Q24" s="16"/>
    </row>
    <row r="25" spans="1:19" x14ac:dyDescent="0.25">
      <c r="A25" s="8">
        <v>44593</v>
      </c>
      <c r="B25" s="9" t="s">
        <v>53</v>
      </c>
      <c r="C25" s="9" t="s">
        <v>28</v>
      </c>
      <c r="D25" s="9" t="s">
        <v>22</v>
      </c>
      <c r="E25" s="9" t="s">
        <v>26</v>
      </c>
      <c r="F25" s="9">
        <v>191</v>
      </c>
      <c r="G25" s="9">
        <v>63</v>
      </c>
      <c r="H25" s="9">
        <v>115</v>
      </c>
      <c r="I25" s="9">
        <v>54.57</v>
      </c>
      <c r="J25" s="9">
        <v>26.19</v>
      </c>
      <c r="K25" s="9">
        <v>0</v>
      </c>
      <c r="L25" s="9" t="s">
        <v>29</v>
      </c>
      <c r="M25" s="9">
        <v>0</v>
      </c>
      <c r="N25" s="9">
        <v>28.06</v>
      </c>
      <c r="O25" s="10" t="s">
        <v>20</v>
      </c>
      <c r="P25" s="9" t="str">
        <f>TEXT(Table1[[#This Row],[Date]],"mmmm")</f>
        <v>February</v>
      </c>
      <c r="Q25" s="16"/>
    </row>
    <row r="26" spans="1:19" x14ac:dyDescent="0.25">
      <c r="A26" s="8">
        <v>44596</v>
      </c>
      <c r="B26" s="9" t="s">
        <v>53</v>
      </c>
      <c r="C26" s="9" t="s">
        <v>30</v>
      </c>
      <c r="D26" s="9" t="s">
        <v>22</v>
      </c>
      <c r="E26" s="9" t="s">
        <v>26</v>
      </c>
      <c r="F26" s="9">
        <v>281</v>
      </c>
      <c r="G26" s="9">
        <v>156</v>
      </c>
      <c r="H26" s="9">
        <v>25</v>
      </c>
      <c r="I26" s="9">
        <v>150.9</v>
      </c>
      <c r="J26" s="9">
        <v>83.29</v>
      </c>
      <c r="K26" s="9">
        <v>20</v>
      </c>
      <c r="L26" s="9" t="s">
        <v>19</v>
      </c>
      <c r="M26" s="9">
        <v>0</v>
      </c>
      <c r="N26" s="9">
        <v>80.64</v>
      </c>
      <c r="O26" s="10" t="s">
        <v>20</v>
      </c>
      <c r="P26" s="9" t="str">
        <f>TEXT(Table1[[#This Row],[Date]],"mmmm")</f>
        <v>February</v>
      </c>
      <c r="Q26" s="16"/>
    </row>
    <row r="27" spans="1:19" x14ac:dyDescent="0.25">
      <c r="A27" s="8">
        <v>44596</v>
      </c>
      <c r="B27" s="9" t="s">
        <v>53</v>
      </c>
      <c r="C27" s="9" t="s">
        <v>33</v>
      </c>
      <c r="D27" s="9" t="s">
        <v>36</v>
      </c>
      <c r="E27" s="9" t="s">
        <v>18</v>
      </c>
      <c r="F27" s="9">
        <v>492</v>
      </c>
      <c r="G27" s="9">
        <v>250</v>
      </c>
      <c r="H27" s="9">
        <v>168</v>
      </c>
      <c r="I27" s="9">
        <v>242.57</v>
      </c>
      <c r="J27" s="9">
        <v>85.59</v>
      </c>
      <c r="K27" s="9">
        <v>20</v>
      </c>
      <c r="L27" s="9" t="s">
        <v>29</v>
      </c>
      <c r="M27" s="9">
        <v>0</v>
      </c>
      <c r="N27" s="9">
        <v>86.82</v>
      </c>
      <c r="O27" s="10" t="s">
        <v>34</v>
      </c>
      <c r="P27" s="9" t="str">
        <f>TEXT(Table1[[#This Row],[Date]],"mmmm")</f>
        <v>February</v>
      </c>
      <c r="Q27" s="16"/>
    </row>
    <row r="28" spans="1:19" x14ac:dyDescent="0.25">
      <c r="A28" s="8">
        <v>44596</v>
      </c>
      <c r="B28" s="9" t="s">
        <v>53</v>
      </c>
      <c r="C28" s="9" t="s">
        <v>35</v>
      </c>
      <c r="D28" s="9" t="s">
        <v>17</v>
      </c>
      <c r="E28" s="9" t="s">
        <v>26</v>
      </c>
      <c r="F28" s="9">
        <v>460</v>
      </c>
      <c r="G28" s="9">
        <v>393</v>
      </c>
      <c r="H28" s="9">
        <v>70</v>
      </c>
      <c r="I28" s="9">
        <v>401.48</v>
      </c>
      <c r="J28" s="9">
        <v>91.13</v>
      </c>
      <c r="K28" s="9">
        <v>5</v>
      </c>
      <c r="L28" s="9" t="s">
        <v>24</v>
      </c>
      <c r="M28" s="9">
        <v>0</v>
      </c>
      <c r="N28" s="9">
        <v>93.33</v>
      </c>
      <c r="O28" s="10" t="s">
        <v>27</v>
      </c>
      <c r="P28" s="9" t="str">
        <f>TEXT(Table1[[#This Row],[Date]],"mmmm")</f>
        <v>February</v>
      </c>
      <c r="Q28" s="16"/>
    </row>
    <row r="29" spans="1:19" x14ac:dyDescent="0.25">
      <c r="A29" s="8">
        <v>44597</v>
      </c>
      <c r="B29" s="9" t="s">
        <v>53</v>
      </c>
      <c r="C29" s="9" t="s">
        <v>37</v>
      </c>
      <c r="D29" s="9" t="s">
        <v>31</v>
      </c>
      <c r="E29" s="9" t="s">
        <v>26</v>
      </c>
      <c r="F29" s="9">
        <v>304</v>
      </c>
      <c r="G29" s="9">
        <v>29</v>
      </c>
      <c r="H29" s="9">
        <v>99</v>
      </c>
      <c r="I29" s="9">
        <v>35.54</v>
      </c>
      <c r="J29" s="9">
        <v>66.959999999999994</v>
      </c>
      <c r="K29" s="9">
        <v>20</v>
      </c>
      <c r="L29" s="9" t="s">
        <v>44</v>
      </c>
      <c r="M29" s="9">
        <v>0</v>
      </c>
      <c r="N29" s="9">
        <v>65.36</v>
      </c>
      <c r="O29" s="10" t="s">
        <v>27</v>
      </c>
      <c r="P29" s="9" t="str">
        <f>TEXT(Table1[[#This Row],[Date]],"mmmm")</f>
        <v>February</v>
      </c>
      <c r="Q29" s="16"/>
    </row>
    <row r="30" spans="1:19" x14ac:dyDescent="0.25">
      <c r="A30" s="8">
        <v>44597</v>
      </c>
      <c r="B30" s="9" t="s">
        <v>53</v>
      </c>
      <c r="C30" s="9" t="s">
        <v>40</v>
      </c>
      <c r="D30" s="9" t="s">
        <v>38</v>
      </c>
      <c r="E30" s="9" t="s">
        <v>23</v>
      </c>
      <c r="F30" s="9">
        <v>113</v>
      </c>
      <c r="G30" s="9">
        <v>9</v>
      </c>
      <c r="H30" s="9">
        <v>84</v>
      </c>
      <c r="I30" s="9">
        <v>14.78</v>
      </c>
      <c r="J30" s="9">
        <v>81.290000000000006</v>
      </c>
      <c r="K30" s="9">
        <v>5</v>
      </c>
      <c r="L30" s="9" t="s">
        <v>19</v>
      </c>
      <c r="M30" s="9">
        <v>1</v>
      </c>
      <c r="N30" s="9">
        <v>82.06</v>
      </c>
      <c r="O30" s="10" t="s">
        <v>34</v>
      </c>
      <c r="P30" s="9" t="str">
        <f>TEXT(Table1[[#This Row],[Date]],"mmmm")</f>
        <v>February</v>
      </c>
      <c r="Q30" s="16"/>
    </row>
    <row r="31" spans="1:19" x14ac:dyDescent="0.25">
      <c r="A31" s="8">
        <v>44597</v>
      </c>
      <c r="B31" s="9" t="s">
        <v>53</v>
      </c>
      <c r="C31" s="9" t="s">
        <v>41</v>
      </c>
      <c r="D31" s="9" t="s">
        <v>31</v>
      </c>
      <c r="E31" s="9" t="s">
        <v>18</v>
      </c>
      <c r="F31" s="9">
        <v>157</v>
      </c>
      <c r="G31" s="9">
        <v>126</v>
      </c>
      <c r="H31" s="9">
        <v>181</v>
      </c>
      <c r="I31" s="9">
        <v>132.75</v>
      </c>
      <c r="J31" s="9">
        <v>60.84</v>
      </c>
      <c r="K31" s="9">
        <v>0</v>
      </c>
      <c r="L31" s="9" t="s">
        <v>44</v>
      </c>
      <c r="M31" s="9">
        <v>1</v>
      </c>
      <c r="N31" s="9">
        <v>65.22</v>
      </c>
      <c r="O31" s="10" t="s">
        <v>34</v>
      </c>
      <c r="P31" s="9" t="str">
        <f>TEXT(Table1[[#This Row],[Date]],"mmmm")</f>
        <v>February</v>
      </c>
      <c r="Q31" s="16"/>
    </row>
    <row r="32" spans="1:19" x14ac:dyDescent="0.25">
      <c r="A32" s="8">
        <v>44597</v>
      </c>
      <c r="B32" s="9" t="s">
        <v>53</v>
      </c>
      <c r="C32" s="9" t="s">
        <v>42</v>
      </c>
      <c r="D32" s="9" t="s">
        <v>17</v>
      </c>
      <c r="E32" s="9" t="s">
        <v>26</v>
      </c>
      <c r="F32" s="9">
        <v>67</v>
      </c>
      <c r="G32" s="9">
        <v>13</v>
      </c>
      <c r="H32" s="9">
        <v>33</v>
      </c>
      <c r="I32" s="9">
        <v>7.44</v>
      </c>
      <c r="J32" s="9">
        <v>34.619999999999997</v>
      </c>
      <c r="K32" s="9">
        <v>0</v>
      </c>
      <c r="L32" s="9" t="s">
        <v>44</v>
      </c>
      <c r="M32" s="9">
        <v>1</v>
      </c>
      <c r="N32" s="9">
        <v>33.979999999999997</v>
      </c>
      <c r="O32" s="10" t="s">
        <v>20</v>
      </c>
      <c r="P32" s="9" t="str">
        <f>TEXT(Table1[[#This Row],[Date]],"mmmm")</f>
        <v>February</v>
      </c>
      <c r="Q32" s="16"/>
    </row>
    <row r="33" spans="1:17" x14ac:dyDescent="0.25">
      <c r="A33" s="8">
        <v>44597</v>
      </c>
      <c r="B33" s="9" t="s">
        <v>53</v>
      </c>
      <c r="C33" s="9" t="s">
        <v>43</v>
      </c>
      <c r="D33" s="9" t="s">
        <v>17</v>
      </c>
      <c r="E33" s="9" t="s">
        <v>32</v>
      </c>
      <c r="F33" s="9">
        <v>281</v>
      </c>
      <c r="G33" s="9">
        <v>25</v>
      </c>
      <c r="H33" s="9">
        <v>136</v>
      </c>
      <c r="I33" s="9">
        <v>37.270000000000003</v>
      </c>
      <c r="J33" s="9">
        <v>19.559999999999999</v>
      </c>
      <c r="K33" s="9">
        <v>5</v>
      </c>
      <c r="L33" s="9" t="s">
        <v>19</v>
      </c>
      <c r="M33" s="9">
        <v>1</v>
      </c>
      <c r="N33" s="9">
        <v>19.010000000000002</v>
      </c>
      <c r="O33" s="10" t="s">
        <v>34</v>
      </c>
      <c r="P33" s="9" t="str">
        <f>TEXT(Table1[[#This Row],[Date]],"mmmm")</f>
        <v>February</v>
      </c>
      <c r="Q33" s="16"/>
    </row>
    <row r="34" spans="1:17" x14ac:dyDescent="0.25">
      <c r="A34" s="8">
        <v>44602</v>
      </c>
      <c r="B34" s="9" t="s">
        <v>53</v>
      </c>
      <c r="C34" s="9" t="s">
        <v>45</v>
      </c>
      <c r="D34" s="9" t="s">
        <v>38</v>
      </c>
      <c r="E34" s="9" t="s">
        <v>32</v>
      </c>
      <c r="F34" s="9">
        <v>389</v>
      </c>
      <c r="G34" s="9">
        <v>283</v>
      </c>
      <c r="H34" s="9">
        <v>177</v>
      </c>
      <c r="I34" s="9">
        <v>299.7</v>
      </c>
      <c r="J34" s="9">
        <v>57.78</v>
      </c>
      <c r="K34" s="9">
        <v>20</v>
      </c>
      <c r="L34" s="9" t="s">
        <v>29</v>
      </c>
      <c r="M34" s="9">
        <v>0</v>
      </c>
      <c r="N34" s="9">
        <v>58.5</v>
      </c>
      <c r="O34" s="10" t="s">
        <v>39</v>
      </c>
      <c r="P34" s="9" t="str">
        <f>TEXT(Table1[[#This Row],[Date]],"mmmm")</f>
        <v>February</v>
      </c>
      <c r="Q34" s="16"/>
    </row>
    <row r="35" spans="1:17" x14ac:dyDescent="0.25">
      <c r="A35" s="8">
        <v>44602</v>
      </c>
      <c r="B35" s="9" t="s">
        <v>53</v>
      </c>
      <c r="C35" s="9" t="s">
        <v>46</v>
      </c>
      <c r="D35" s="9" t="s">
        <v>31</v>
      </c>
      <c r="E35" s="9" t="s">
        <v>32</v>
      </c>
      <c r="F35" s="9">
        <v>465</v>
      </c>
      <c r="G35" s="9">
        <v>359</v>
      </c>
      <c r="H35" s="9">
        <v>77</v>
      </c>
      <c r="I35" s="9">
        <v>370.36</v>
      </c>
      <c r="J35" s="9">
        <v>91.28</v>
      </c>
      <c r="K35" s="9">
        <v>20</v>
      </c>
      <c r="L35" s="9" t="s">
        <v>29</v>
      </c>
      <c r="M35" s="9">
        <v>0</v>
      </c>
      <c r="N35" s="9">
        <v>90.85</v>
      </c>
      <c r="O35" s="10" t="s">
        <v>27</v>
      </c>
      <c r="P35" s="9" t="str">
        <f>TEXT(Table1[[#This Row],[Date]],"mmmm")</f>
        <v>February</v>
      </c>
      <c r="Q35" s="16"/>
    </row>
    <row r="36" spans="1:17" x14ac:dyDescent="0.25">
      <c r="A36" s="8">
        <v>44602</v>
      </c>
      <c r="B36" s="9" t="s">
        <v>53</v>
      </c>
      <c r="C36" s="9" t="s">
        <v>47</v>
      </c>
      <c r="D36" s="9" t="s">
        <v>22</v>
      </c>
      <c r="E36" s="9" t="s">
        <v>23</v>
      </c>
      <c r="F36" s="9">
        <v>197</v>
      </c>
      <c r="G36" s="9">
        <v>129</v>
      </c>
      <c r="H36" s="9">
        <v>94</v>
      </c>
      <c r="I36" s="9">
        <v>148.55000000000001</v>
      </c>
      <c r="J36" s="9">
        <v>59.9</v>
      </c>
      <c r="K36" s="9">
        <v>15</v>
      </c>
      <c r="L36" s="9" t="s">
        <v>24</v>
      </c>
      <c r="M36" s="9">
        <v>1</v>
      </c>
      <c r="N36" s="9">
        <v>55.23</v>
      </c>
      <c r="O36" s="10" t="s">
        <v>34</v>
      </c>
      <c r="P36" s="9" t="str">
        <f>TEXT(Table1[[#This Row],[Date]],"mmmm")</f>
        <v>February</v>
      </c>
      <c r="Q36" s="16"/>
    </row>
    <row r="37" spans="1:17" x14ac:dyDescent="0.25">
      <c r="A37" s="8">
        <v>44604</v>
      </c>
      <c r="B37" s="9" t="s">
        <v>53</v>
      </c>
      <c r="C37" s="9" t="s">
        <v>48</v>
      </c>
      <c r="D37" s="9" t="s">
        <v>22</v>
      </c>
      <c r="E37" s="9" t="s">
        <v>23</v>
      </c>
      <c r="F37" s="9">
        <v>242</v>
      </c>
      <c r="G37" s="9">
        <v>63</v>
      </c>
      <c r="H37" s="9">
        <v>85</v>
      </c>
      <c r="I37" s="9">
        <v>58.07</v>
      </c>
      <c r="J37" s="9">
        <v>45.65</v>
      </c>
      <c r="K37" s="9">
        <v>20</v>
      </c>
      <c r="L37" s="9" t="s">
        <v>19</v>
      </c>
      <c r="M37" s="9">
        <v>1</v>
      </c>
      <c r="N37" s="9">
        <v>42.17</v>
      </c>
      <c r="O37" s="10" t="s">
        <v>39</v>
      </c>
      <c r="P37" s="9" t="str">
        <f>TEXT(Table1[[#This Row],[Date]],"mmmm")</f>
        <v>February</v>
      </c>
      <c r="Q37" s="16"/>
    </row>
    <row r="38" spans="1:17" x14ac:dyDescent="0.25">
      <c r="A38" s="8">
        <v>44604</v>
      </c>
      <c r="B38" s="9" t="s">
        <v>53</v>
      </c>
      <c r="C38" s="9" t="s">
        <v>49</v>
      </c>
      <c r="D38" s="9" t="s">
        <v>17</v>
      </c>
      <c r="E38" s="9" t="s">
        <v>26</v>
      </c>
      <c r="F38" s="9">
        <v>398</v>
      </c>
      <c r="G38" s="9">
        <v>373</v>
      </c>
      <c r="H38" s="9">
        <v>92</v>
      </c>
      <c r="I38" s="9">
        <v>390.89</v>
      </c>
      <c r="J38" s="9">
        <v>11.71</v>
      </c>
      <c r="K38" s="9">
        <v>20</v>
      </c>
      <c r="L38" s="9" t="s">
        <v>29</v>
      </c>
      <c r="M38" s="9">
        <v>1</v>
      </c>
      <c r="N38" s="9">
        <v>10</v>
      </c>
      <c r="O38" s="10" t="s">
        <v>34</v>
      </c>
      <c r="P38" s="9" t="str">
        <f>TEXT(Table1[[#This Row],[Date]],"mmmm")</f>
        <v>February</v>
      </c>
      <c r="Q38" s="16"/>
    </row>
    <row r="39" spans="1:17" x14ac:dyDescent="0.25">
      <c r="A39" s="8">
        <v>44604</v>
      </c>
      <c r="B39" s="9" t="s">
        <v>53</v>
      </c>
      <c r="C39" s="9" t="s">
        <v>50</v>
      </c>
      <c r="D39" s="9" t="s">
        <v>17</v>
      </c>
      <c r="E39" s="9" t="s">
        <v>18</v>
      </c>
      <c r="F39" s="9">
        <v>234</v>
      </c>
      <c r="G39" s="9">
        <v>160</v>
      </c>
      <c r="H39" s="9">
        <v>140</v>
      </c>
      <c r="I39" s="9">
        <v>177.41</v>
      </c>
      <c r="J39" s="9">
        <v>58.84</v>
      </c>
      <c r="K39" s="9">
        <v>5</v>
      </c>
      <c r="L39" s="9" t="s">
        <v>29</v>
      </c>
      <c r="M39" s="9">
        <v>0</v>
      </c>
      <c r="N39" s="9">
        <v>54.39</v>
      </c>
      <c r="O39" s="10" t="s">
        <v>27</v>
      </c>
      <c r="P39" s="9" t="str">
        <f>TEXT(Table1[[#This Row],[Date]],"mmmm")</f>
        <v>February</v>
      </c>
      <c r="Q39" s="16"/>
    </row>
    <row r="40" spans="1:17" x14ac:dyDescent="0.25">
      <c r="A40" s="8">
        <v>44607</v>
      </c>
      <c r="B40" s="9" t="s">
        <v>53</v>
      </c>
      <c r="C40" s="9" t="s">
        <v>51</v>
      </c>
      <c r="D40" s="9" t="s">
        <v>22</v>
      </c>
      <c r="E40" s="9" t="s">
        <v>32</v>
      </c>
      <c r="F40" s="9">
        <v>67</v>
      </c>
      <c r="G40" s="9">
        <v>15</v>
      </c>
      <c r="H40" s="9">
        <v>186</v>
      </c>
      <c r="I40" s="9">
        <v>34.380000000000003</v>
      </c>
      <c r="J40" s="9">
        <v>84.99</v>
      </c>
      <c r="K40" s="9">
        <v>5</v>
      </c>
      <c r="L40" s="9" t="s">
        <v>24</v>
      </c>
      <c r="M40" s="9">
        <v>1</v>
      </c>
      <c r="N40" s="9">
        <v>81.02</v>
      </c>
      <c r="O40" s="10" t="s">
        <v>34</v>
      </c>
      <c r="P40" s="9" t="str">
        <f>TEXT(Table1[[#This Row],[Date]],"mmmm")</f>
        <v>February</v>
      </c>
      <c r="Q40" s="16"/>
    </row>
    <row r="41" spans="1:17" x14ac:dyDescent="0.25">
      <c r="A41" s="11">
        <v>44607</v>
      </c>
      <c r="B41" s="12" t="s">
        <v>53</v>
      </c>
      <c r="C41" s="12" t="s">
        <v>52</v>
      </c>
      <c r="D41" s="12" t="s">
        <v>22</v>
      </c>
      <c r="E41" s="12" t="s">
        <v>26</v>
      </c>
      <c r="F41" s="12">
        <v>221</v>
      </c>
      <c r="G41" s="12">
        <v>101</v>
      </c>
      <c r="H41" s="12">
        <v>38</v>
      </c>
      <c r="I41" s="12">
        <v>115</v>
      </c>
      <c r="J41" s="12">
        <v>87.1</v>
      </c>
      <c r="K41" s="12">
        <v>0</v>
      </c>
      <c r="L41" s="12" t="s">
        <v>19</v>
      </c>
      <c r="M41" s="12">
        <v>1</v>
      </c>
      <c r="N41" s="12">
        <v>91.56</v>
      </c>
      <c r="O41" s="13" t="s">
        <v>39</v>
      </c>
      <c r="P41" s="12" t="str">
        <f>TEXT(Table1[[#This Row],[Date]],"mmmm")</f>
        <v>February</v>
      </c>
      <c r="Q41" s="16"/>
    </row>
    <row r="42" spans="1:17" x14ac:dyDescent="0.25">
      <c r="A42" t="s">
        <v>58</v>
      </c>
      <c r="B42">
        <f>SUBTOTAL(103,Table1[Store ID])</f>
        <v>40</v>
      </c>
      <c r="C42">
        <f>SUBTOTAL(103,Table1[Product ID])</f>
        <v>40</v>
      </c>
      <c r="D42">
        <f>SUBTOTAL(103,Table1[Category])</f>
        <v>40</v>
      </c>
      <c r="F42">
        <f>SUBTOTAL(101,Table1[Inventory Level])</f>
        <v>265</v>
      </c>
      <c r="G42">
        <f>SUBTOTAL(109,Table1[Units Sold])</f>
        <v>5736</v>
      </c>
      <c r="H42">
        <f>SUBTOTAL(107,Table1[Units Ordered])</f>
        <v>51.216928040919427</v>
      </c>
      <c r="I42">
        <f>SUBTOTAL(110,Table1[Demand Forecast])</f>
        <v>13202.860917948714</v>
      </c>
      <c r="O42">
        <f>SUBTOTAL(103,Table1[Seasonality])</f>
        <v>40</v>
      </c>
      <c r="P42" s="14">
        <f>SUBTOTAL(103,Table1[Months])</f>
        <v>40</v>
      </c>
      <c r="Q42" s="16"/>
    </row>
    <row r="46" spans="1:17" x14ac:dyDescent="0.25">
      <c r="D46">
        <f>COUNTA(D2:D41)</f>
        <v>40</v>
      </c>
      <c r="F46">
        <f>COUNT(G2:G41)</f>
        <v>40</v>
      </c>
    </row>
  </sheetData>
  <conditionalFormatting sqref="I2">
    <cfRule type="top10" dxfId="27" priority="7" rank="10"/>
  </conditionalFormatting>
  <conditionalFormatting sqref="I1:I1048576">
    <cfRule type="top10" dxfId="26" priority="6" rank="10"/>
  </conditionalFormatting>
  <conditionalFormatting sqref="J1:J1048576">
    <cfRule type="cellIs" dxfId="25" priority="5" operator="between">
      <formula>50</formula>
      <formula>76</formula>
    </cfRule>
  </conditionalFormatting>
  <conditionalFormatting sqref="R11">
    <cfRule type="cellIs" dxfId="24" priority="3" operator="between">
      <formula>50</formula>
      <formula>76</formula>
    </cfRule>
  </conditionalFormatting>
  <conditionalFormatting sqref="R10">
    <cfRule type="top10" dxfId="23" priority="4" rank="10"/>
  </conditionalFormatting>
  <conditionalFormatting sqref="S8">
    <cfRule type="top10" dxfId="22" priority="2" rank="10"/>
  </conditionalFormatting>
  <conditionalFormatting sqref="S9">
    <cfRule type="cellIs" dxfId="21" priority="1" operator="between">
      <formula>50</formula>
      <formula>76</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Price&amp;Dis by Category&amp;Region</vt:lpstr>
      <vt:lpstr>Units by months</vt:lpstr>
      <vt:lpstr>Dist by weather</vt:lpstr>
      <vt:lpstr>By Seasons</vt:lpstr>
      <vt:lpstr>Retail_Store_Inventory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SMG</dc:creator>
  <cp:lastModifiedBy>SMG</cp:lastModifiedBy>
  <dcterms:created xsi:type="dcterms:W3CDTF">2025-08-01T12:24:22Z</dcterms:created>
  <dcterms:modified xsi:type="dcterms:W3CDTF">2025-11-15T15:02:45Z</dcterms:modified>
</cp:coreProperties>
</file>