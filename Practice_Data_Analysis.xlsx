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0" yWindow="0" windowWidth="19200" windowHeight="7050" firstSheet="2" activeTab="5"/>
  </bookViews>
  <sheets>
    <sheet name="Charts_IF" sheetId="1" r:id="rId1"/>
    <sheet name="Cases_Concat" sheetId="2" r:id="rId2"/>
    <sheet name="Extracting_Functions" sheetId="3" r:id="rId3"/>
    <sheet name="Split_Data" sheetId="4" r:id="rId4"/>
    <sheet name="Vlookup" sheetId="5" r:id="rId5"/>
    <sheet name="Pivot_Table" sheetId="6" r:id="rId6"/>
  </sheets>
  <calcPr calcId="162913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5" l="1"/>
  <c r="O10" i="5"/>
  <c r="O6" i="5"/>
  <c r="O7" i="5"/>
  <c r="O8" i="5"/>
  <c r="O9" i="5"/>
  <c r="L5" i="5"/>
  <c r="L6" i="5"/>
  <c r="L7" i="5"/>
  <c r="L8" i="5"/>
  <c r="L9" i="5"/>
  <c r="L10" i="5"/>
  <c r="E18" i="5"/>
  <c r="B18" i="5"/>
  <c r="F6" i="5"/>
  <c r="B5" i="5"/>
  <c r="B3" i="5"/>
  <c r="AL5" i="3" l="1"/>
  <c r="AL6" i="3"/>
  <c r="AL7" i="3"/>
  <c r="AL8" i="3"/>
  <c r="AL4" i="3"/>
  <c r="AF5" i="3"/>
  <c r="AG5" i="3"/>
  <c r="AH5" i="3"/>
  <c r="AI5" i="3"/>
  <c r="AJ5" i="3"/>
  <c r="AK5" i="3"/>
  <c r="AF6" i="3"/>
  <c r="AG6" i="3"/>
  <c r="AH6" i="3"/>
  <c r="AI6" i="3"/>
  <c r="AJ6" i="3"/>
  <c r="AK6" i="3"/>
  <c r="AF7" i="3"/>
  <c r="AG7" i="3"/>
  <c r="AH7" i="3"/>
  <c r="AI7" i="3"/>
  <c r="AJ7" i="3"/>
  <c r="AK7" i="3"/>
  <c r="AF8" i="3"/>
  <c r="AG8" i="3"/>
  <c r="AH8" i="3"/>
  <c r="AI8" i="3"/>
  <c r="AJ8" i="3"/>
  <c r="AK8" i="3"/>
  <c r="AG4" i="3"/>
  <c r="AH4" i="3"/>
  <c r="AI4" i="3"/>
  <c r="AJ4" i="3"/>
  <c r="AK4" i="3"/>
  <c r="AF4" i="3"/>
  <c r="T4" i="3"/>
  <c r="S4" i="3"/>
  <c r="R4" i="3"/>
  <c r="P9" i="3"/>
  <c r="P8" i="3"/>
  <c r="P7" i="3"/>
  <c r="P6" i="3"/>
  <c r="P5" i="3"/>
  <c r="P4" i="3"/>
  <c r="P3" i="3"/>
  <c r="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" i="3"/>
  <c r="E18" i="3" l="1"/>
  <c r="B18" i="3"/>
  <c r="F6" i="3"/>
  <c r="B5" i="3"/>
  <c r="B3" i="3"/>
  <c r="E3" i="2" l="1"/>
  <c r="G3" i="2" s="1"/>
  <c r="H3" i="2" s="1"/>
  <c r="I3" i="2" s="1"/>
  <c r="E4" i="2"/>
  <c r="G4" i="2" s="1"/>
  <c r="H4" i="2" s="1"/>
  <c r="I4" i="2" s="1"/>
  <c r="E5" i="2"/>
  <c r="G5" i="2" s="1"/>
  <c r="H5" i="2" s="1"/>
  <c r="I5" i="2" s="1"/>
  <c r="E6" i="2"/>
  <c r="G6" i="2" s="1"/>
  <c r="H6" i="2" s="1"/>
  <c r="I6" i="2" s="1"/>
  <c r="E7" i="2"/>
  <c r="G7" i="2" s="1"/>
  <c r="H7" i="2" s="1"/>
  <c r="I7" i="2" s="1"/>
  <c r="E8" i="2"/>
  <c r="G8" i="2" s="1"/>
  <c r="H8" i="2" s="1"/>
  <c r="I8" i="2" s="1"/>
  <c r="E9" i="2"/>
  <c r="G9" i="2" s="1"/>
  <c r="H9" i="2" s="1"/>
  <c r="I9" i="2" s="1"/>
  <c r="E10" i="2"/>
  <c r="G10" i="2" s="1"/>
  <c r="H10" i="2" s="1"/>
  <c r="I10" i="2" s="1"/>
  <c r="E11" i="2"/>
  <c r="G11" i="2" s="1"/>
  <c r="H11" i="2" s="1"/>
  <c r="I11" i="2" s="1"/>
  <c r="E12" i="2"/>
  <c r="G12" i="2" s="1"/>
  <c r="H12" i="2" s="1"/>
  <c r="I12" i="2" s="1"/>
  <c r="E13" i="2"/>
  <c r="G13" i="2" s="1"/>
  <c r="H13" i="2" s="1"/>
  <c r="I13" i="2" s="1"/>
  <c r="E14" i="2"/>
  <c r="G14" i="2" s="1"/>
  <c r="H14" i="2" s="1"/>
  <c r="I14" i="2" s="1"/>
  <c r="E15" i="2"/>
  <c r="G15" i="2" s="1"/>
  <c r="H15" i="2" s="1"/>
  <c r="I15" i="2" s="1"/>
  <c r="E16" i="2"/>
  <c r="G16" i="2" s="1"/>
  <c r="H16" i="2" s="1"/>
  <c r="I16" i="2" s="1"/>
  <c r="E17" i="2"/>
  <c r="G17" i="2" s="1"/>
  <c r="H17" i="2" s="1"/>
  <c r="I17" i="2" s="1"/>
  <c r="E18" i="2"/>
  <c r="G18" i="2" s="1"/>
  <c r="H18" i="2" s="1"/>
  <c r="I18" i="2" s="1"/>
  <c r="E19" i="2"/>
  <c r="G19" i="2" s="1"/>
  <c r="H19" i="2" s="1"/>
  <c r="I19" i="2" s="1"/>
  <c r="E20" i="2"/>
  <c r="G20" i="2" s="1"/>
  <c r="H20" i="2" s="1"/>
  <c r="I20" i="2" s="1"/>
  <c r="E21" i="2"/>
  <c r="G21" i="2" s="1"/>
  <c r="H21" i="2" s="1"/>
  <c r="I21" i="2" s="1"/>
  <c r="E2" i="2"/>
  <c r="G2" i="2" s="1"/>
  <c r="H2" i="2" s="1"/>
  <c r="I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B3" i="1"/>
  <c r="F6" i="1"/>
  <c r="B18" i="1"/>
  <c r="E18" i="1"/>
  <c r="B5" i="1" l="1"/>
</calcChain>
</file>

<file path=xl/sharedStrings.xml><?xml version="1.0" encoding="utf-8"?>
<sst xmlns="http://schemas.openxmlformats.org/spreadsheetml/2006/main" count="448" uniqueCount="121">
  <si>
    <t>EmployeeID</t>
  </si>
  <si>
    <t>Name</t>
  </si>
  <si>
    <t>Department</t>
  </si>
  <si>
    <t>Position</t>
  </si>
  <si>
    <t>Salary</t>
  </si>
  <si>
    <t>City</t>
  </si>
  <si>
    <t>JoiningDate</t>
  </si>
  <si>
    <t>alice</t>
  </si>
  <si>
    <t>Finance</t>
  </si>
  <si>
    <t>Executive</t>
  </si>
  <si>
    <t>Phoenix</t>
  </si>
  <si>
    <t>Assistant</t>
  </si>
  <si>
    <t>Clerk</t>
  </si>
  <si>
    <t>Chicago</t>
  </si>
  <si>
    <t>Sales</t>
  </si>
  <si>
    <t>Analyst</t>
  </si>
  <si>
    <t>Houston</t>
  </si>
  <si>
    <t>jack</t>
  </si>
  <si>
    <t>IT</t>
  </si>
  <si>
    <t>bob</t>
  </si>
  <si>
    <t>Marketing</t>
  </si>
  <si>
    <t>david</t>
  </si>
  <si>
    <t>Los Angeles</t>
  </si>
  <si>
    <t>frank</t>
  </si>
  <si>
    <t>HR</t>
  </si>
  <si>
    <t>hannah</t>
  </si>
  <si>
    <t>charlie</t>
  </si>
  <si>
    <t>Manager</t>
  </si>
  <si>
    <t>grace</t>
  </si>
  <si>
    <t>New York</t>
  </si>
  <si>
    <t>ivy</t>
  </si>
  <si>
    <t xml:space="preserve">Executive    </t>
  </si>
  <si>
    <t>Promotioms</t>
  </si>
  <si>
    <t>First_Name</t>
  </si>
  <si>
    <t>Last_Name</t>
  </si>
  <si>
    <t>Ali</t>
  </si>
  <si>
    <t>RAZA</t>
  </si>
  <si>
    <t>AhmeD</t>
  </si>
  <si>
    <t>Shafeeq</t>
  </si>
  <si>
    <t>faiz</t>
  </si>
  <si>
    <t>Ahmad</t>
  </si>
  <si>
    <t>Farooq</t>
  </si>
  <si>
    <t>Abid</t>
  </si>
  <si>
    <t>Asad</t>
  </si>
  <si>
    <t>Baig</t>
  </si>
  <si>
    <t>MeHTab</t>
  </si>
  <si>
    <t>Anwar</t>
  </si>
  <si>
    <t>Shoaib</t>
  </si>
  <si>
    <t>Asghar</t>
  </si>
  <si>
    <t>Mehak</t>
  </si>
  <si>
    <t>YOUNS</t>
  </si>
  <si>
    <t>SALIQ</t>
  </si>
  <si>
    <t>Tariq</t>
  </si>
  <si>
    <t>Talha</t>
  </si>
  <si>
    <t>Shahzad</t>
  </si>
  <si>
    <t>Taha</t>
  </si>
  <si>
    <t>Zaheer</t>
  </si>
  <si>
    <t>ANAS</t>
  </si>
  <si>
    <t>irfan</t>
  </si>
  <si>
    <t>Irfan</t>
  </si>
  <si>
    <t>Zeeshan</t>
  </si>
  <si>
    <t>Mirza</t>
  </si>
  <si>
    <t>Adeel</t>
  </si>
  <si>
    <t>Abubakar</t>
  </si>
  <si>
    <t>Nadeem</t>
  </si>
  <si>
    <t>Zain</t>
  </si>
  <si>
    <t>Waseem</t>
  </si>
  <si>
    <t>Tahir</t>
  </si>
  <si>
    <t>Waleed</t>
  </si>
  <si>
    <t>Muneeb</t>
  </si>
  <si>
    <t>Haider</t>
  </si>
  <si>
    <t>Concat</t>
  </si>
  <si>
    <t>Proper</t>
  </si>
  <si>
    <t>Lower</t>
  </si>
  <si>
    <t>Upper</t>
  </si>
  <si>
    <t>EmployeeID,Name,Department,Position,Salary,City,JoiningDate</t>
  </si>
  <si>
    <t>101,Ali,Finance,Analyst,75000,Lahore,22-08-2022</t>
  </si>
  <si>
    <t>102,Ahmed,Finance,Assistant,65000,Lahore,22-08-2022</t>
  </si>
  <si>
    <t>103,Raza,IT,Assistant,60000,Lahore,23-10-2023</t>
  </si>
  <si>
    <t>104,Ali,Finance,Analyst,75000,Lahore,22-08-2022</t>
  </si>
  <si>
    <t>105,Ahmed,Finance,Assistant,65000,Lahore,22-08-2022</t>
  </si>
  <si>
    <t>106,Raza,IT,Assistant,60000,Lahore,23-10-2023</t>
  </si>
  <si>
    <t>107,Ali,Finance,Analyst,75000,Lahore,22-08-2022</t>
  </si>
  <si>
    <t>108,Ahmed,Finance,Assistant,65000,Lahore,22-08-2022</t>
  </si>
  <si>
    <t>Lahore</t>
  </si>
  <si>
    <t>22-08-2022</t>
  </si>
  <si>
    <t>Ahmed</t>
  </si>
  <si>
    <t>Raza</t>
  </si>
  <si>
    <t>23-10-2023</t>
  </si>
  <si>
    <t>Date</t>
  </si>
  <si>
    <t>Day</t>
  </si>
  <si>
    <t>Year</t>
  </si>
  <si>
    <t>Month</t>
  </si>
  <si>
    <t>Month_name</t>
  </si>
  <si>
    <t>Full_days_name</t>
  </si>
  <si>
    <t>Average</t>
  </si>
  <si>
    <t>Sum</t>
  </si>
  <si>
    <t>Median</t>
  </si>
  <si>
    <t>Mode</t>
  </si>
  <si>
    <t>Variance</t>
  </si>
  <si>
    <t>STD</t>
  </si>
  <si>
    <t>Count</t>
  </si>
  <si>
    <t>CountA</t>
  </si>
  <si>
    <t>SumIF</t>
  </si>
  <si>
    <t>CountIF</t>
  </si>
  <si>
    <t>SUMIFS</t>
  </si>
  <si>
    <t>Department/Position</t>
  </si>
  <si>
    <t>Total_Sum</t>
  </si>
  <si>
    <t>AverageIF</t>
  </si>
  <si>
    <t>COUNTIFS</t>
  </si>
  <si>
    <t>Column1</t>
  </si>
  <si>
    <t>Column2</t>
  </si>
  <si>
    <t>Column3</t>
  </si>
  <si>
    <t>Column4</t>
  </si>
  <si>
    <t>Column5</t>
  </si>
  <si>
    <t>Column6</t>
  </si>
  <si>
    <t>Column7</t>
  </si>
  <si>
    <t>VLOOKUP</t>
  </si>
  <si>
    <t>Col_Index</t>
  </si>
  <si>
    <t>Match_Function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</si>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</sst>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0" fontId="1" fillId="0" borderId="0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0" xfId="0" applyFont="1" applyBorder="1"/>
    <xf numFmtId="0" fontId="2" fillId="0" borderId="0" xfId="0" applyFont="1"/>
    <xf numFmtId="0" fontId="3" fillId="0" borderId="0" xfId="0" applyFont="1" applyBorder="1"/>
    <xf numFmtId="0" fontId="3" fillId="0" borderId="0" xfId="0" applyFont="1"/>
    <xf numFmtId="0" fontId="1" fillId="0" borderId="0" xfId="0" applyFont="1" applyFill="1" applyBorder="1"/>
    <xf numFmtId="0" fontId="4" fillId="2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7"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7030A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7030A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Charts_IF!$E$1</c:f>
              <c:strCache>
                <c:ptCount val="1"/>
                <c:pt idx="0">
                  <c:v>Salary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Charts_IF!$C$2:$D$22</c:f>
              <c:multiLvlStrCache>
                <c:ptCount val="21"/>
                <c:lvl>
                  <c:pt idx="0">
                    <c:v>Executive    </c:v>
                  </c:pt>
                  <c:pt idx="1">
                    <c:v>Assistant</c:v>
                  </c:pt>
                  <c:pt idx="2">
                    <c:v>Clerk</c:v>
                  </c:pt>
                  <c:pt idx="3">
                    <c:v>Analyst</c:v>
                  </c:pt>
                  <c:pt idx="4">
                    <c:v>Assistant</c:v>
                  </c:pt>
                  <c:pt idx="5">
                    <c:v>Analyst</c:v>
                  </c:pt>
                  <c:pt idx="6">
                    <c:v>Analyst</c:v>
                  </c:pt>
                  <c:pt idx="7">
                    <c:v>Executive</c:v>
                  </c:pt>
                  <c:pt idx="8">
                    <c:v>Executive</c:v>
                  </c:pt>
                  <c:pt idx="9">
                    <c:v>Manager</c:v>
                  </c:pt>
                  <c:pt idx="10">
                    <c:v>Manager</c:v>
                  </c:pt>
                  <c:pt idx="11">
                    <c:v>Analyst</c:v>
                  </c:pt>
                  <c:pt idx="12">
                    <c:v>Assistant</c:v>
                  </c:pt>
                  <c:pt idx="13">
                    <c:v>Executive</c:v>
                  </c:pt>
                  <c:pt idx="14">
                    <c:v>Assistant</c:v>
                  </c:pt>
                  <c:pt idx="15">
                    <c:v>Analyst</c:v>
                  </c:pt>
                  <c:pt idx="16">
                    <c:v>Executive</c:v>
                  </c:pt>
                  <c:pt idx="17">
                    <c:v>Clerk</c:v>
                  </c:pt>
                  <c:pt idx="18">
                    <c:v>Clerk</c:v>
                  </c:pt>
                  <c:pt idx="19">
                    <c:v>Assistant</c:v>
                  </c:pt>
                  <c:pt idx="20">
                    <c:v>Manager</c:v>
                  </c:pt>
                </c:lvl>
                <c:lvl>
                  <c:pt idx="0">
                    <c:v>Finance</c:v>
                  </c:pt>
                  <c:pt idx="1">
                    <c:v>Finance</c:v>
                  </c:pt>
                  <c:pt idx="2">
                    <c:v>Finance</c:v>
                  </c:pt>
                  <c:pt idx="3">
                    <c:v>Sales</c:v>
                  </c:pt>
                  <c:pt idx="4">
                    <c:v>IT</c:v>
                  </c:pt>
                  <c:pt idx="5">
                    <c:v>Marketing</c:v>
                  </c:pt>
                  <c:pt idx="6">
                    <c:v>Marketing</c:v>
                  </c:pt>
                  <c:pt idx="7">
                    <c:v>HR</c:v>
                  </c:pt>
                  <c:pt idx="8">
                    <c:v>Finance</c:v>
                  </c:pt>
                  <c:pt idx="9">
                    <c:v>HR</c:v>
                  </c:pt>
                  <c:pt idx="10">
                    <c:v>Sales</c:v>
                  </c:pt>
                  <c:pt idx="11">
                    <c:v>HR</c:v>
                  </c:pt>
                  <c:pt idx="12">
                    <c:v>Finance</c:v>
                  </c:pt>
                  <c:pt idx="13">
                    <c:v>IT</c:v>
                  </c:pt>
                  <c:pt idx="14">
                    <c:v>Marketing</c:v>
                  </c:pt>
                  <c:pt idx="15">
                    <c:v>Marketing</c:v>
                  </c:pt>
                  <c:pt idx="16">
                    <c:v>Sales</c:v>
                  </c:pt>
                  <c:pt idx="17">
                    <c:v>IT</c:v>
                  </c:pt>
                  <c:pt idx="18">
                    <c:v>HR</c:v>
                  </c:pt>
                  <c:pt idx="19">
                    <c:v>Finance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Charts_IF!$E$2:$E$22</c:f>
              <c:numCache>
                <c:formatCode>General</c:formatCode>
                <c:ptCount val="21"/>
                <c:pt idx="0">
                  <c:v>43434</c:v>
                </c:pt>
                <c:pt idx="1">
                  <c:v>103563</c:v>
                </c:pt>
                <c:pt idx="2">
                  <c:v>50379</c:v>
                </c:pt>
                <c:pt idx="3">
                  <c:v>90217</c:v>
                </c:pt>
                <c:pt idx="4">
                  <c:v>39116</c:v>
                </c:pt>
                <c:pt idx="5">
                  <c:v>76566</c:v>
                </c:pt>
                <c:pt idx="6">
                  <c:v>113886</c:v>
                </c:pt>
                <c:pt idx="7">
                  <c:v>104341</c:v>
                </c:pt>
                <c:pt idx="8">
                  <c:v>100644</c:v>
                </c:pt>
                <c:pt idx="9">
                  <c:v>50033</c:v>
                </c:pt>
                <c:pt idx="10">
                  <c:v>45014</c:v>
                </c:pt>
                <c:pt idx="11">
                  <c:v>53416</c:v>
                </c:pt>
                <c:pt idx="12">
                  <c:v>99514</c:v>
                </c:pt>
                <c:pt idx="13">
                  <c:v>104364</c:v>
                </c:pt>
                <c:pt idx="14">
                  <c:v>99163</c:v>
                </c:pt>
                <c:pt idx="15">
                  <c:v>97839</c:v>
                </c:pt>
                <c:pt idx="16">
                  <c:v>97839</c:v>
                </c:pt>
                <c:pt idx="17">
                  <c:v>47342</c:v>
                </c:pt>
                <c:pt idx="18">
                  <c:v>83883</c:v>
                </c:pt>
                <c:pt idx="19">
                  <c:v>85296</c:v>
                </c:pt>
                <c:pt idx="20">
                  <c:v>60982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9-4B15-9F75-D7C7353961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35200312"/>
        <c:axId val="335195720"/>
      </c:barChart>
      <c:catAx>
        <c:axId val="3352003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35195720"/>
        <c:crosses val="autoZero"/>
        <c:auto val="1"/>
        <c:lblAlgn val="ctr"/>
        <c:lblOffset val="100"/>
        <c:noMultiLvlLbl val="0"/>
      </c:catAx>
      <c:valAx>
        <c:axId val="3351957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Salary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3520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3</xdr:row>
      <xdr:rowOff>6350</xdr:rowOff>
    </xdr:from>
    <xdr:to>
      <xdr:col>16</xdr:col>
      <xdr:colOff>380999</xdr:colOff>
      <xdr:row>22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MG" refreshedDate="45996.806361342591" createdVersion="6" refreshedVersion="6" minRefreshableVersion="3" recordCount="21">
  <cacheSource type="worksheet">
    <worksheetSource ref="A1:G22" sheet="Vlookup"/>
  </cacheSource>
  <cacheFields count="7">
    <cacheField name="EmployeeID" numFmtId="0">
      <sharedItems containsSemiMixedTypes="0" containsString="0" containsNumber="1" containsInteger="1" minValue="1" maxValue="21"/>
    </cacheField>
    <cacheField name="Name" numFmtId="0">
      <sharedItems/>
    </cacheField>
    <cacheField name="Department" numFmtId="0">
      <sharedItems count="5">
        <s v="Finance"/>
        <s v="Sales"/>
        <s v="IT"/>
        <s v="Marketing"/>
        <s v="HR"/>
      </sharedItems>
    </cacheField>
    <cacheField name="Position" numFmtId="0">
      <sharedItems count="6">
        <s v="Executive    "/>
        <s v="Assistant"/>
        <s v="Clerk"/>
        <s v="Analyst"/>
        <s v="Executive"/>
        <s v="Manager"/>
      </sharedItems>
    </cacheField>
    <cacheField name="Salary" numFmtId="0">
      <sharedItems containsSemiMixedTypes="0" containsString="0" containsNumber="1" containsInteger="1" minValue="39116" maxValue="113886"/>
    </cacheField>
    <cacheField name="City" numFmtId="0">
      <sharedItems count="5">
        <s v="Phoenix"/>
        <s v="Chicago"/>
        <s v="Houston"/>
        <s v="Los Angeles"/>
        <s v="New York"/>
      </sharedItems>
    </cacheField>
    <cacheField name="JoiningDate" numFmtId="14">
      <sharedItems containsSemiMixedTypes="0" containsNonDate="0" containsDate="1" containsString="0" minDate="2012-07-13T00:00:00" maxDate="2025-04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n v="1"/>
    <s v="alice"/>
    <x v="0"/>
    <x v="0"/>
    <n v="43434"/>
    <x v="0"/>
    <d v="2012-10-14T00:00:00"/>
  </r>
  <r>
    <n v="2"/>
    <s v="alice"/>
    <x v="0"/>
    <x v="1"/>
    <n v="103563"/>
    <x v="0"/>
    <d v="2023-04-15T00:00:00"/>
  </r>
  <r>
    <n v="3"/>
    <s v="alice"/>
    <x v="0"/>
    <x v="2"/>
    <n v="50379"/>
    <x v="1"/>
    <d v="2013-02-13T00:00:00"/>
  </r>
  <r>
    <n v="4"/>
    <s v="alice"/>
    <x v="1"/>
    <x v="3"/>
    <n v="90217"/>
    <x v="2"/>
    <d v="2012-09-10T00:00:00"/>
  </r>
  <r>
    <n v="5"/>
    <s v="jack"/>
    <x v="2"/>
    <x v="1"/>
    <n v="39116"/>
    <x v="2"/>
    <d v="2017-05-03T00:00:00"/>
  </r>
  <r>
    <n v="6"/>
    <s v="bob"/>
    <x v="3"/>
    <x v="3"/>
    <n v="76566"/>
    <x v="1"/>
    <d v="2012-10-21T00:00:00"/>
  </r>
  <r>
    <n v="7"/>
    <s v="david"/>
    <x v="3"/>
    <x v="3"/>
    <n v="113886"/>
    <x v="3"/>
    <d v="2020-01-08T00:00:00"/>
  </r>
  <r>
    <n v="8"/>
    <s v="frank"/>
    <x v="4"/>
    <x v="4"/>
    <n v="104341"/>
    <x v="1"/>
    <d v="2016-11-16T00:00:00"/>
  </r>
  <r>
    <n v="9"/>
    <s v="hannah"/>
    <x v="0"/>
    <x v="4"/>
    <n v="100644"/>
    <x v="0"/>
    <d v="2023-10-13T00:00:00"/>
  </r>
  <r>
    <n v="10"/>
    <s v="charlie"/>
    <x v="4"/>
    <x v="5"/>
    <n v="50033"/>
    <x v="2"/>
    <d v="2012-07-13T00:00:00"/>
  </r>
  <r>
    <n v="11"/>
    <s v="hannah"/>
    <x v="1"/>
    <x v="5"/>
    <n v="45014"/>
    <x v="0"/>
    <d v="2018-11-11T00:00:00"/>
  </r>
  <r>
    <n v="12"/>
    <s v="grace"/>
    <x v="4"/>
    <x v="3"/>
    <n v="53416"/>
    <x v="4"/>
    <d v="2019-11-17T00:00:00"/>
  </r>
  <r>
    <n v="13"/>
    <s v="charlie"/>
    <x v="0"/>
    <x v="1"/>
    <n v="99514"/>
    <x v="0"/>
    <d v="2020-08-01T00:00:00"/>
  </r>
  <r>
    <n v="14"/>
    <s v="frank"/>
    <x v="2"/>
    <x v="4"/>
    <n v="104364"/>
    <x v="4"/>
    <d v="2025-02-25T00:00:00"/>
  </r>
  <r>
    <n v="15"/>
    <s v="charlie"/>
    <x v="3"/>
    <x v="1"/>
    <n v="99163"/>
    <x v="2"/>
    <d v="2016-09-25T00:00:00"/>
  </r>
  <r>
    <n v="16"/>
    <s v="david"/>
    <x v="3"/>
    <x v="3"/>
    <n v="97839"/>
    <x v="3"/>
    <d v="2017-02-11T00:00:00"/>
  </r>
  <r>
    <n v="17"/>
    <s v="david"/>
    <x v="1"/>
    <x v="4"/>
    <n v="97839"/>
    <x v="4"/>
    <d v="2017-02-02T00:00:00"/>
  </r>
  <r>
    <n v="18"/>
    <s v="bob"/>
    <x v="2"/>
    <x v="2"/>
    <n v="47342"/>
    <x v="0"/>
    <d v="2025-04-26T00:00:00"/>
  </r>
  <r>
    <n v="19"/>
    <s v="grace"/>
    <x v="4"/>
    <x v="2"/>
    <n v="83883"/>
    <x v="4"/>
    <d v="2013-01-13T00:00:00"/>
  </r>
  <r>
    <n v="20"/>
    <s v="bob"/>
    <x v="0"/>
    <x v="1"/>
    <n v="85296"/>
    <x v="2"/>
    <d v="2017-02-15T00:00:00"/>
  </r>
  <r>
    <n v="21"/>
    <s v="ivy"/>
    <x v="1"/>
    <x v="5"/>
    <n v="60982"/>
    <x v="2"/>
    <d v="2025-04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A5" firstHeaderRow="1" firstDataRow="1" firstDataCol="0" rowPageCount="2" colPageCount="1"/>
  <pivotFields count="7">
    <pivotField showAll="0"/>
    <pivotField showAll="0"/>
    <pivotField axis="axisPage" multipleItemSelectionAllowed="1" showAll="0">
      <items count="6">
        <item h="1" x="0"/>
        <item x="4"/>
        <item h="1" x="2"/>
        <item h="1" x="3"/>
        <item h="1" x="1"/>
        <item t="default"/>
      </items>
    </pivotField>
    <pivotField axis="axisPage" multipleItemSelectionAllowed="1" showAll="0">
      <items count="7">
        <item x="3"/>
        <item h="1" x="1"/>
        <item h="1" x="2"/>
        <item h="1" x="4"/>
        <item h="1" x="0"/>
        <item h="1" x="5"/>
        <item t="default"/>
      </items>
    </pivotField>
    <pivotField dataField="1" showAll="0"/>
    <pivotField showAll="0">
      <items count="6">
        <item h="1" x="1"/>
        <item h="1" x="2"/>
        <item h="1" x="3"/>
        <item h="1" x="0"/>
        <item x="4"/>
        <item t="default"/>
      </items>
    </pivotField>
    <pivotField numFmtId="14" showAll="0"/>
  </pivotFields>
  <rowItems count="1">
    <i/>
  </rowItems>
  <colItems count="1">
    <i/>
  </colItems>
  <pageFields count="2">
    <pageField fld="3" hier="-1"/>
    <pageField fld="2" hier="-1"/>
  </pageFields>
  <dataFields count="1">
    <dataField name="Sum of Salary" fld="4" baseField="2" baseItem="4"/>
  </dataFields>
  <chartFormats count="14"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V2:AC8" totalsRowShown="0" headerRowDxfId="4">
  <autoFilter ref="V2:AC8"/>
  <tableColumns count="8">
    <tableColumn id="1" name="SUMIFS" dataDxfId="3"/>
    <tableColumn id="2" name="Column1">
      <calculatedColumnFormula>SUMIFS($E:$E,$C:$C,$V3,$D:$D,W$3)</calculatedColumnFormula>
    </tableColumn>
    <tableColumn id="3" name="Column2">
      <calculatedColumnFormula>SUMIFS($E:$E,$C:$C,$V3,$D:$D,X$3)</calculatedColumnFormula>
    </tableColumn>
    <tableColumn id="4" name="Column3">
      <calculatedColumnFormula>SUMIFS($E:$E,$C:$C,$V3,$D:$D,Y$3)</calculatedColumnFormula>
    </tableColumn>
    <tableColumn id="5" name="Column4">
      <calculatedColumnFormula>SUMIFS($E:$E,$C:$C,$V3,$D:$D,Z$3)</calculatedColumnFormula>
    </tableColumn>
    <tableColumn id="6" name="Column5">
      <calculatedColumnFormula>SUMIFS($E:$E,$C:$C,$V3,$D:$D,AA$3)</calculatedColumnFormula>
    </tableColumn>
    <tableColumn id="7" name="Column6">
      <calculatedColumnFormula>SUMIFS($E:$E,$C:$C,$V3,$D:$D,AB$3)</calculatedColumnFormula>
    </tableColumn>
    <tableColumn id="8" name="Column7">
      <calculatedColumnFormula>SUM(W3:AB3)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E2:AL8" totalsRowShown="0" headerRowDxfId="2">
  <autoFilter ref="AE2:AL8"/>
  <tableColumns count="8">
    <tableColumn id="1" name="COUNTIFS" dataDxfId="1"/>
    <tableColumn id="2" name="Column1">
      <calculatedColumnFormula>COUNTIFS($C:$C,$AE3,$D:$D,AF$3)</calculatedColumnFormula>
    </tableColumn>
    <tableColumn id="3" name="Column2">
      <calculatedColumnFormula>COUNTIFS($C:$C,$AE3,$D:$D,AG$3)</calculatedColumnFormula>
    </tableColumn>
    <tableColumn id="4" name="Column3">
      <calculatedColumnFormula>COUNTIFS($C:$C,$AE3,$D:$D,AH$3)</calculatedColumnFormula>
    </tableColumn>
    <tableColumn id="5" name="Column4">
      <calculatedColumnFormula>COUNTIFS($C:$C,$AE3,$D:$D,AI$3)</calculatedColumnFormula>
    </tableColumn>
    <tableColumn id="6" name="Column5">
      <calculatedColumnFormula>COUNTIFS($C:$C,$AE3,$D:$D,AJ$3)</calculatedColumnFormula>
    </tableColumn>
    <tableColumn id="7" name="Column6">
      <calculatedColumnFormula>COUNTIFS($C:$C,$AE3,$D:$D,AK$3)</calculatedColumnFormula>
    </tableColumn>
    <tableColumn id="8" name="Column7">
      <calculatedColumnFormula>SUM(AF3:AK3)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2:K10" totalsRowShown="0">
  <autoFilter ref="E2:K10"/>
  <tableColumns count="7">
    <tableColumn id="1" name="EmployeeID"/>
    <tableColumn id="2" name="Name"/>
    <tableColumn id="3" name="Department"/>
    <tableColumn id="4" name="Position"/>
    <tableColumn id="5" name="Salary"/>
    <tableColumn id="6" name="City"/>
    <tableColumn id="7" name="Joining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sqref="A1:G22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10.453125" bestFit="1" customWidth="1"/>
    <col min="5" max="5" width="7.81640625" bestFit="1" customWidth="1"/>
    <col min="6" max="6" width="10.453125" bestFit="1" customWidth="1"/>
    <col min="7" max="7" width="10.54296875" bestFit="1" customWidth="1"/>
    <col min="8" max="8" width="11.1796875" bestFit="1" customWidth="1"/>
    <col min="9" max="9" width="11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5" t="s">
        <v>32</v>
      </c>
    </row>
    <row r="2" spans="1:9" x14ac:dyDescent="0.35">
      <c r="A2" s="3">
        <v>1</v>
      </c>
      <c r="B2" s="3" t="s">
        <v>7</v>
      </c>
      <c r="C2" s="3" t="s">
        <v>8</v>
      </c>
      <c r="D2" s="3" t="s">
        <v>31</v>
      </c>
      <c r="E2" s="3">
        <v>43434</v>
      </c>
      <c r="F2" s="3" t="s">
        <v>10</v>
      </c>
      <c r="G2" s="4">
        <v>41196</v>
      </c>
      <c r="H2" t="str">
        <f>IF(AND(C2="Finance", D2="Assistant"), "Promoted", "Wait")</f>
        <v>Wait</v>
      </c>
      <c r="I2" t="str">
        <f>IF(OR(C2="IT", D2="Analyst"), "Promote", "Not Promote")</f>
        <v>Not Promote</v>
      </c>
    </row>
    <row r="3" spans="1:9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H3" t="str">
        <f t="shared" ref="H3:H22" si="0">IF(AND(C3="Finance", D3="Assistant"), "Promoted", "Wait")</f>
        <v>Promoted</v>
      </c>
      <c r="I3" t="str">
        <f t="shared" ref="I3:I22" si="1">IF(OR(C3="IT", D3="Analyst"), "Promote", "Not Promote")</f>
        <v>Not Promote</v>
      </c>
    </row>
    <row r="4" spans="1:9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H4" t="str">
        <f t="shared" si="0"/>
        <v>Wait</v>
      </c>
      <c r="I4" t="str">
        <f t="shared" si="1"/>
        <v>Not Promote</v>
      </c>
    </row>
    <row r="5" spans="1:9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H5" t="str">
        <f t="shared" si="0"/>
        <v>Wait</v>
      </c>
      <c r="I5" t="str">
        <f t="shared" si="1"/>
        <v>Promote</v>
      </c>
    </row>
    <row r="6" spans="1:9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H6" t="str">
        <f t="shared" si="0"/>
        <v>Wait</v>
      </c>
      <c r="I6" t="str">
        <f t="shared" si="1"/>
        <v>Promote</v>
      </c>
    </row>
    <row r="7" spans="1:9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H7" t="str">
        <f t="shared" si="0"/>
        <v>Wait</v>
      </c>
      <c r="I7" t="str">
        <f t="shared" si="1"/>
        <v>Promote</v>
      </c>
    </row>
    <row r="8" spans="1:9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  <c r="H8" t="str">
        <f t="shared" si="0"/>
        <v>Wait</v>
      </c>
      <c r="I8" t="str">
        <f t="shared" si="1"/>
        <v>Promote</v>
      </c>
    </row>
    <row r="9" spans="1:9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  <c r="H9" t="str">
        <f t="shared" si="0"/>
        <v>Wait</v>
      </c>
      <c r="I9" t="str">
        <f t="shared" si="1"/>
        <v>Not Promote</v>
      </c>
    </row>
    <row r="10" spans="1:9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  <c r="H10" t="str">
        <f t="shared" si="0"/>
        <v>Wait</v>
      </c>
      <c r="I10" t="str">
        <f t="shared" si="1"/>
        <v>Not Promote</v>
      </c>
    </row>
    <row r="11" spans="1:9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  <c r="H11" t="str">
        <f t="shared" si="0"/>
        <v>Wait</v>
      </c>
      <c r="I11" t="str">
        <f t="shared" si="1"/>
        <v>Not Promote</v>
      </c>
    </row>
    <row r="12" spans="1:9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  <c r="H12" t="str">
        <f t="shared" si="0"/>
        <v>Wait</v>
      </c>
      <c r="I12" t="str">
        <f t="shared" si="1"/>
        <v>Not Promote</v>
      </c>
    </row>
    <row r="13" spans="1:9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  <c r="H13" t="str">
        <f t="shared" si="0"/>
        <v>Wait</v>
      </c>
      <c r="I13" t="str">
        <f t="shared" si="1"/>
        <v>Promote</v>
      </c>
    </row>
    <row r="14" spans="1:9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  <c r="H14" t="str">
        <f t="shared" si="0"/>
        <v>Promoted</v>
      </c>
      <c r="I14" t="str">
        <f t="shared" si="1"/>
        <v>Not Promote</v>
      </c>
    </row>
    <row r="15" spans="1:9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  <c r="H15" t="str">
        <f t="shared" si="0"/>
        <v>Wait</v>
      </c>
      <c r="I15" t="str">
        <f t="shared" si="1"/>
        <v>Promote</v>
      </c>
    </row>
    <row r="16" spans="1:9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  <c r="H16" t="str">
        <f t="shared" si="0"/>
        <v>Wait</v>
      </c>
      <c r="I16" t="str">
        <f t="shared" si="1"/>
        <v>Not Promote</v>
      </c>
    </row>
    <row r="17" spans="1:9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  <c r="H17" t="str">
        <f t="shared" si="0"/>
        <v>Wait</v>
      </c>
      <c r="I17" t="str">
        <f t="shared" si="1"/>
        <v>Promote</v>
      </c>
    </row>
    <row r="18" spans="1:9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  <c r="H18" t="str">
        <f t="shared" si="0"/>
        <v>Wait</v>
      </c>
      <c r="I18" t="str">
        <f t="shared" si="1"/>
        <v>Not Promote</v>
      </c>
    </row>
    <row r="19" spans="1:9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  <c r="H19" t="str">
        <f t="shared" si="0"/>
        <v>Wait</v>
      </c>
      <c r="I19" t="str">
        <f t="shared" si="1"/>
        <v>Promote</v>
      </c>
    </row>
    <row r="20" spans="1:9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  <c r="H20" t="str">
        <f t="shared" si="0"/>
        <v>Wait</v>
      </c>
      <c r="I20" t="str">
        <f t="shared" si="1"/>
        <v>Not Promote</v>
      </c>
    </row>
    <row r="21" spans="1:9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  <c r="H21" t="str">
        <f t="shared" si="0"/>
        <v>Promoted</v>
      </c>
      <c r="I21" t="str">
        <f t="shared" si="1"/>
        <v>Not Promote</v>
      </c>
    </row>
    <row r="22" spans="1:9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  <c r="H22" t="str">
        <f t="shared" si="0"/>
        <v>Wait</v>
      </c>
      <c r="I22" t="str">
        <f t="shared" si="1"/>
        <v>Not Promote</v>
      </c>
    </row>
  </sheetData>
  <conditionalFormatting sqref="A2:G22">
    <cfRule type="expression" dxfId="16" priority="2">
      <formula>$C2=$I$2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workbookViewId="0">
      <selection activeCell="H13" sqref="H13"/>
    </sheetView>
  </sheetViews>
  <sheetFormatPr defaultRowHeight="14.5" x14ac:dyDescent="0.35"/>
  <cols>
    <col min="2" max="2" width="10.26953125" bestFit="1" customWidth="1"/>
    <col min="3" max="3" width="10" bestFit="1" customWidth="1"/>
    <col min="4" max="5" width="16.453125" bestFit="1" customWidth="1"/>
    <col min="6" max="6" width="16.453125" customWidth="1"/>
    <col min="7" max="7" width="16.453125" bestFit="1" customWidth="1"/>
    <col min="8" max="8" width="16.08984375" bestFit="1" customWidth="1"/>
    <col min="9" max="9" width="18" bestFit="1" customWidth="1"/>
  </cols>
  <sheetData>
    <row r="1" spans="2:9" x14ac:dyDescent="0.35">
      <c r="B1" t="s">
        <v>33</v>
      </c>
      <c r="C1" t="s">
        <v>34</v>
      </c>
      <c r="D1" t="s">
        <v>71</v>
      </c>
      <c r="G1" t="s">
        <v>72</v>
      </c>
      <c r="H1" t="s">
        <v>73</v>
      </c>
      <c r="I1" t="s">
        <v>74</v>
      </c>
    </row>
    <row r="2" spans="2:9" x14ac:dyDescent="0.35">
      <c r="B2" s="3" t="s">
        <v>35</v>
      </c>
      <c r="C2" s="3" t="s">
        <v>36</v>
      </c>
      <c r="D2" t="str">
        <f>CONCATENATE(B2," ",C2)</f>
        <v>Ali RAZA</v>
      </c>
      <c r="E2" t="str">
        <f>B2&amp;" "&amp;C2</f>
        <v>Ali RAZA</v>
      </c>
      <c r="G2" t="str">
        <f t="shared" ref="G2:G21" si="0">PROPER(E2)</f>
        <v>Ali Raza</v>
      </c>
      <c r="H2" t="str">
        <f>LOWER(G2)</f>
        <v>ali raza</v>
      </c>
      <c r="I2" t="str">
        <f>UPPER(H2)</f>
        <v>ALI RAZA</v>
      </c>
    </row>
    <row r="3" spans="2:9" x14ac:dyDescent="0.35">
      <c r="B3" s="3" t="s">
        <v>37</v>
      </c>
      <c r="C3" s="3" t="s">
        <v>38</v>
      </c>
      <c r="D3" t="str">
        <f t="shared" ref="D3:D21" si="1">CONCATENATE(B3," ",C3)</f>
        <v>AhmeD Shafeeq</v>
      </c>
      <c r="E3" t="str">
        <f t="shared" ref="E3:E21" si="2">B3&amp;" "&amp;C3</f>
        <v>AhmeD Shafeeq</v>
      </c>
      <c r="G3" t="str">
        <f t="shared" si="0"/>
        <v>Ahmed Shafeeq</v>
      </c>
      <c r="H3" t="str">
        <f t="shared" ref="H3:H21" si="3">LOWER(G3)</f>
        <v>ahmed shafeeq</v>
      </c>
      <c r="I3" t="str">
        <f t="shared" ref="I3:I21" si="4">UPPER(H3)</f>
        <v>AHMED SHAFEEQ</v>
      </c>
    </row>
    <row r="4" spans="2:9" x14ac:dyDescent="0.35">
      <c r="B4" s="3" t="s">
        <v>39</v>
      </c>
      <c r="C4" s="3" t="s">
        <v>40</v>
      </c>
      <c r="D4" t="str">
        <f t="shared" si="1"/>
        <v>faiz Ahmad</v>
      </c>
      <c r="E4" t="str">
        <f t="shared" si="2"/>
        <v>faiz Ahmad</v>
      </c>
      <c r="G4" t="str">
        <f t="shared" si="0"/>
        <v>Faiz Ahmad</v>
      </c>
      <c r="H4" t="str">
        <f t="shared" si="3"/>
        <v>faiz ahmad</v>
      </c>
      <c r="I4" t="str">
        <f t="shared" si="4"/>
        <v>FAIZ AHMAD</v>
      </c>
    </row>
    <row r="5" spans="2:9" x14ac:dyDescent="0.35">
      <c r="B5" s="3" t="s">
        <v>41</v>
      </c>
      <c r="C5" s="3" t="s">
        <v>42</v>
      </c>
      <c r="D5" t="str">
        <f t="shared" si="1"/>
        <v>Farooq Abid</v>
      </c>
      <c r="E5" t="str">
        <f t="shared" si="2"/>
        <v>Farooq Abid</v>
      </c>
      <c r="G5" t="str">
        <f t="shared" si="0"/>
        <v>Farooq Abid</v>
      </c>
      <c r="H5" t="str">
        <f t="shared" si="3"/>
        <v>farooq abid</v>
      </c>
      <c r="I5" t="str">
        <f t="shared" si="4"/>
        <v>FAROOQ ABID</v>
      </c>
    </row>
    <row r="6" spans="2:9" x14ac:dyDescent="0.35">
      <c r="B6" s="3" t="s">
        <v>43</v>
      </c>
      <c r="C6" s="3" t="s">
        <v>44</v>
      </c>
      <c r="D6" t="str">
        <f t="shared" si="1"/>
        <v>Asad Baig</v>
      </c>
      <c r="E6" t="str">
        <f t="shared" si="2"/>
        <v>Asad Baig</v>
      </c>
      <c r="G6" t="str">
        <f t="shared" si="0"/>
        <v>Asad Baig</v>
      </c>
      <c r="H6" t="str">
        <f t="shared" si="3"/>
        <v>asad baig</v>
      </c>
      <c r="I6" t="str">
        <f t="shared" si="4"/>
        <v>ASAD BAIG</v>
      </c>
    </row>
    <row r="7" spans="2:9" x14ac:dyDescent="0.35">
      <c r="B7" s="3" t="s">
        <v>45</v>
      </c>
      <c r="C7" s="3" t="s">
        <v>46</v>
      </c>
      <c r="D7" t="str">
        <f t="shared" si="1"/>
        <v>MeHTab Anwar</v>
      </c>
      <c r="E7" t="str">
        <f t="shared" si="2"/>
        <v>MeHTab Anwar</v>
      </c>
      <c r="G7" t="str">
        <f t="shared" si="0"/>
        <v>Mehtab Anwar</v>
      </c>
      <c r="H7" t="str">
        <f t="shared" si="3"/>
        <v>mehtab anwar</v>
      </c>
      <c r="I7" t="str">
        <f t="shared" si="4"/>
        <v>MEHTAB ANWAR</v>
      </c>
    </row>
    <row r="8" spans="2:9" x14ac:dyDescent="0.35">
      <c r="B8" s="3" t="s">
        <v>47</v>
      </c>
      <c r="C8" s="3" t="s">
        <v>48</v>
      </c>
      <c r="D8" t="str">
        <f t="shared" si="1"/>
        <v>Shoaib Asghar</v>
      </c>
      <c r="E8" t="str">
        <f t="shared" si="2"/>
        <v>Shoaib Asghar</v>
      </c>
      <c r="G8" t="str">
        <f t="shared" si="0"/>
        <v>Shoaib Asghar</v>
      </c>
      <c r="H8" t="str">
        <f t="shared" si="3"/>
        <v>shoaib asghar</v>
      </c>
      <c r="I8" t="str">
        <f t="shared" si="4"/>
        <v>SHOAIB ASGHAR</v>
      </c>
    </row>
    <row r="9" spans="2:9" x14ac:dyDescent="0.35">
      <c r="B9" s="3" t="s">
        <v>49</v>
      </c>
      <c r="C9" s="3" t="s">
        <v>50</v>
      </c>
      <c r="D9" t="str">
        <f t="shared" si="1"/>
        <v>Mehak YOUNS</v>
      </c>
      <c r="E9" t="str">
        <f t="shared" si="2"/>
        <v>Mehak YOUNS</v>
      </c>
      <c r="G9" t="str">
        <f t="shared" si="0"/>
        <v>Mehak Youns</v>
      </c>
      <c r="H9" t="str">
        <f t="shared" si="3"/>
        <v>mehak youns</v>
      </c>
      <c r="I9" t="str">
        <f t="shared" si="4"/>
        <v>MEHAK YOUNS</v>
      </c>
    </row>
    <row r="10" spans="2:9" x14ac:dyDescent="0.35">
      <c r="B10" s="3" t="s">
        <v>51</v>
      </c>
      <c r="C10" s="3" t="s">
        <v>52</v>
      </c>
      <c r="D10" t="str">
        <f t="shared" si="1"/>
        <v>SALIQ Tariq</v>
      </c>
      <c r="E10" t="str">
        <f t="shared" si="2"/>
        <v>SALIQ Tariq</v>
      </c>
      <c r="G10" t="str">
        <f t="shared" si="0"/>
        <v>Saliq Tariq</v>
      </c>
      <c r="H10" t="str">
        <f t="shared" si="3"/>
        <v>saliq tariq</v>
      </c>
      <c r="I10" t="str">
        <f t="shared" si="4"/>
        <v>SALIQ TARIQ</v>
      </c>
    </row>
    <row r="11" spans="2:9" x14ac:dyDescent="0.35">
      <c r="B11" s="3" t="s">
        <v>53</v>
      </c>
      <c r="C11" s="3" t="s">
        <v>54</v>
      </c>
      <c r="D11" t="str">
        <f t="shared" si="1"/>
        <v>Talha Shahzad</v>
      </c>
      <c r="E11" t="str">
        <f t="shared" si="2"/>
        <v>Talha Shahzad</v>
      </c>
      <c r="G11" t="str">
        <f t="shared" si="0"/>
        <v>Talha Shahzad</v>
      </c>
      <c r="H11" t="str">
        <f t="shared" si="3"/>
        <v>talha shahzad</v>
      </c>
      <c r="I11" t="str">
        <f t="shared" si="4"/>
        <v>TALHA SHAHZAD</v>
      </c>
    </row>
    <row r="12" spans="2:9" x14ac:dyDescent="0.35">
      <c r="B12" s="3" t="s">
        <v>55</v>
      </c>
      <c r="C12" s="3" t="s">
        <v>56</v>
      </c>
      <c r="D12" t="str">
        <f t="shared" si="1"/>
        <v>Taha Zaheer</v>
      </c>
      <c r="E12" t="str">
        <f t="shared" si="2"/>
        <v>Taha Zaheer</v>
      </c>
      <c r="G12" t="str">
        <f t="shared" si="0"/>
        <v>Taha Zaheer</v>
      </c>
      <c r="H12" t="str">
        <f t="shared" si="3"/>
        <v>taha zaheer</v>
      </c>
      <c r="I12" t="str">
        <f t="shared" si="4"/>
        <v>TAHA ZAHEER</v>
      </c>
    </row>
    <row r="13" spans="2:9" x14ac:dyDescent="0.35">
      <c r="B13" s="3" t="s">
        <v>57</v>
      </c>
      <c r="C13" s="3" t="s">
        <v>58</v>
      </c>
      <c r="D13" t="str">
        <f t="shared" si="1"/>
        <v>ANAS irfan</v>
      </c>
      <c r="E13" t="str">
        <f t="shared" si="2"/>
        <v>ANAS irfan</v>
      </c>
      <c r="G13" t="str">
        <f t="shared" si="0"/>
        <v>Anas Irfan</v>
      </c>
      <c r="H13" t="str">
        <f t="shared" si="3"/>
        <v>anas irfan</v>
      </c>
      <c r="I13" t="str">
        <f t="shared" si="4"/>
        <v>ANAS IRFAN</v>
      </c>
    </row>
    <row r="14" spans="2:9" x14ac:dyDescent="0.35">
      <c r="B14" s="3" t="s">
        <v>59</v>
      </c>
      <c r="C14" s="3" t="s">
        <v>35</v>
      </c>
      <c r="D14" t="str">
        <f t="shared" si="1"/>
        <v>Irfan Ali</v>
      </c>
      <c r="E14" t="str">
        <f t="shared" si="2"/>
        <v>Irfan Ali</v>
      </c>
      <c r="G14" t="str">
        <f t="shared" si="0"/>
        <v>Irfan Ali</v>
      </c>
      <c r="H14" t="str">
        <f t="shared" si="3"/>
        <v>irfan ali</v>
      </c>
      <c r="I14" t="str">
        <f t="shared" si="4"/>
        <v>IRFAN ALI</v>
      </c>
    </row>
    <row r="15" spans="2:9" x14ac:dyDescent="0.35">
      <c r="B15" s="3" t="s">
        <v>60</v>
      </c>
      <c r="C15" s="3" t="s">
        <v>61</v>
      </c>
      <c r="D15" t="str">
        <f t="shared" si="1"/>
        <v>Zeeshan Mirza</v>
      </c>
      <c r="E15" t="str">
        <f t="shared" si="2"/>
        <v>Zeeshan Mirza</v>
      </c>
      <c r="G15" t="str">
        <f t="shared" si="0"/>
        <v>Zeeshan Mirza</v>
      </c>
      <c r="H15" t="str">
        <f t="shared" si="3"/>
        <v>zeeshan mirza</v>
      </c>
      <c r="I15" t="str">
        <f t="shared" si="4"/>
        <v>ZEESHAN MIRZA</v>
      </c>
    </row>
    <row r="16" spans="2:9" x14ac:dyDescent="0.35">
      <c r="B16" s="3" t="s">
        <v>62</v>
      </c>
      <c r="C16" s="3" t="s">
        <v>40</v>
      </c>
      <c r="D16" t="str">
        <f t="shared" si="1"/>
        <v>Adeel Ahmad</v>
      </c>
      <c r="E16" t="str">
        <f t="shared" si="2"/>
        <v>Adeel Ahmad</v>
      </c>
      <c r="G16" t="str">
        <f t="shared" si="0"/>
        <v>Adeel Ahmad</v>
      </c>
      <c r="H16" t="str">
        <f t="shared" si="3"/>
        <v>adeel ahmad</v>
      </c>
      <c r="I16" t="str">
        <f t="shared" si="4"/>
        <v>ADEEL AHMAD</v>
      </c>
    </row>
    <row r="17" spans="2:9" x14ac:dyDescent="0.35">
      <c r="B17" s="3" t="s">
        <v>63</v>
      </c>
      <c r="C17" s="3" t="s">
        <v>64</v>
      </c>
      <c r="D17" t="str">
        <f t="shared" si="1"/>
        <v>Abubakar Nadeem</v>
      </c>
      <c r="E17" t="str">
        <f t="shared" si="2"/>
        <v>Abubakar Nadeem</v>
      </c>
      <c r="G17" t="str">
        <f t="shared" si="0"/>
        <v>Abubakar Nadeem</v>
      </c>
      <c r="H17" t="str">
        <f t="shared" si="3"/>
        <v>abubakar nadeem</v>
      </c>
      <c r="I17" t="str">
        <f t="shared" si="4"/>
        <v>ABUBAKAR NADEEM</v>
      </c>
    </row>
    <row r="18" spans="2:9" x14ac:dyDescent="0.35">
      <c r="B18" s="3" t="s">
        <v>65</v>
      </c>
      <c r="C18" s="3" t="s">
        <v>66</v>
      </c>
      <c r="D18" t="str">
        <f t="shared" si="1"/>
        <v>Zain Waseem</v>
      </c>
      <c r="E18" t="str">
        <f t="shared" si="2"/>
        <v>Zain Waseem</v>
      </c>
      <c r="G18" t="str">
        <f t="shared" si="0"/>
        <v>Zain Waseem</v>
      </c>
      <c r="H18" t="str">
        <f t="shared" si="3"/>
        <v>zain waseem</v>
      </c>
      <c r="I18" t="str">
        <f t="shared" si="4"/>
        <v>ZAIN WASEEM</v>
      </c>
    </row>
    <row r="19" spans="2:9" x14ac:dyDescent="0.35">
      <c r="B19" s="3" t="s">
        <v>35</v>
      </c>
      <c r="C19" s="3" t="s">
        <v>67</v>
      </c>
      <c r="D19" t="str">
        <f t="shared" si="1"/>
        <v>Ali Tahir</v>
      </c>
      <c r="E19" t="str">
        <f t="shared" si="2"/>
        <v>Ali Tahir</v>
      </c>
      <c r="G19" t="str">
        <f t="shared" si="0"/>
        <v>Ali Tahir</v>
      </c>
      <c r="H19" t="str">
        <f t="shared" si="3"/>
        <v>ali tahir</v>
      </c>
      <c r="I19" t="str">
        <f t="shared" si="4"/>
        <v>ALI TAHIR</v>
      </c>
    </row>
    <row r="20" spans="2:9" x14ac:dyDescent="0.35">
      <c r="B20" s="3" t="s">
        <v>68</v>
      </c>
      <c r="C20" s="3" t="s">
        <v>67</v>
      </c>
      <c r="D20" t="str">
        <f t="shared" si="1"/>
        <v>Waleed Tahir</v>
      </c>
      <c r="E20" t="str">
        <f t="shared" si="2"/>
        <v>Waleed Tahir</v>
      </c>
      <c r="G20" t="str">
        <f t="shared" si="0"/>
        <v>Waleed Tahir</v>
      </c>
      <c r="H20" t="str">
        <f t="shared" si="3"/>
        <v>waleed tahir</v>
      </c>
      <c r="I20" t="str">
        <f t="shared" si="4"/>
        <v>WALEED TAHIR</v>
      </c>
    </row>
    <row r="21" spans="2:9" x14ac:dyDescent="0.35">
      <c r="B21" s="3" t="s">
        <v>69</v>
      </c>
      <c r="C21" s="3" t="s">
        <v>70</v>
      </c>
      <c r="D21" t="str">
        <f t="shared" si="1"/>
        <v>Muneeb Haider</v>
      </c>
      <c r="E21" t="str">
        <f t="shared" si="2"/>
        <v>Muneeb Haider</v>
      </c>
      <c r="G21" t="str">
        <f t="shared" si="0"/>
        <v>Muneeb Haider</v>
      </c>
      <c r="H21" t="str">
        <f t="shared" si="3"/>
        <v>muneeb haider</v>
      </c>
      <c r="I21" t="str">
        <f t="shared" si="4"/>
        <v>MUNEEB HAIDER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"/>
  <sheetViews>
    <sheetView workbookViewId="0">
      <selection activeCell="Z5" sqref="Z5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10.453125" bestFit="1" customWidth="1"/>
    <col min="5" max="5" width="6.81640625" bestFit="1" customWidth="1"/>
    <col min="6" max="6" width="10.453125" bestFit="1" customWidth="1"/>
    <col min="7" max="7" width="10.54296875" style="6" bestFit="1" customWidth="1"/>
    <col min="10" max="10" width="14.36328125" bestFit="1" customWidth="1"/>
    <col min="13" max="13" width="12.26953125" bestFit="1" customWidth="1"/>
    <col min="15" max="15" width="10.36328125" bestFit="1" customWidth="1"/>
    <col min="16" max="16" width="11.81640625" bestFit="1" customWidth="1"/>
    <col min="20" max="20" width="11.453125" bestFit="1" customWidth="1"/>
    <col min="22" max="22" width="20.453125" bestFit="1" customWidth="1"/>
    <col min="23" max="29" width="12.26953125" customWidth="1"/>
    <col min="31" max="31" width="20.453125" bestFit="1" customWidth="1"/>
    <col min="32" max="38" width="12.26953125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5" t="s">
        <v>89</v>
      </c>
      <c r="I1" s="5" t="s">
        <v>90</v>
      </c>
      <c r="J1" s="5" t="s">
        <v>94</v>
      </c>
      <c r="K1" s="5" t="s">
        <v>91</v>
      </c>
      <c r="L1" s="5" t="s">
        <v>92</v>
      </c>
      <c r="M1" s="5" t="s">
        <v>93</v>
      </c>
    </row>
    <row r="2" spans="1:38" ht="18.5" x14ac:dyDescent="0.45">
      <c r="A2" s="3">
        <v>1</v>
      </c>
      <c r="B2" s="3" t="s">
        <v>7</v>
      </c>
      <c r="C2" s="3" t="s">
        <v>8</v>
      </c>
      <c r="D2" s="3" t="s">
        <v>31</v>
      </c>
      <c r="E2" s="3">
        <v>43434</v>
      </c>
      <c r="F2" s="3" t="s">
        <v>10</v>
      </c>
      <c r="G2" s="4">
        <v>41196</v>
      </c>
      <c r="H2" t="str">
        <f>TEXT(G2,"dd")</f>
        <v>14</v>
      </c>
      <c r="I2" t="str">
        <f>TEXT(G2,"ddd")</f>
        <v>Sun</v>
      </c>
      <c r="J2" t="str">
        <f>TEXT(G2,"dddd")</f>
        <v>Sunday</v>
      </c>
      <c r="K2" s="3" t="str">
        <f>TEXT(G2,"yyyy")</f>
        <v>2012</v>
      </c>
      <c r="L2" s="3" t="str">
        <f>TEXT(G2,"mmm")</f>
        <v>Oct</v>
      </c>
      <c r="M2" s="3" t="str">
        <f>TEXT(G2,"mmmm")</f>
        <v>October</v>
      </c>
      <c r="N2" s="3"/>
      <c r="O2" s="9" t="s">
        <v>95</v>
      </c>
      <c r="P2" s="3">
        <f>AVERAGE(E2:E22)</f>
        <v>78420.523809523816</v>
      </c>
      <c r="Q2" s="3"/>
      <c r="R2" s="9" t="s">
        <v>103</v>
      </c>
      <c r="S2" s="9" t="s">
        <v>104</v>
      </c>
      <c r="T2" s="9" t="s">
        <v>108</v>
      </c>
      <c r="U2" s="3"/>
      <c r="V2" s="12" t="s">
        <v>105</v>
      </c>
      <c r="W2" s="12" t="s">
        <v>110</v>
      </c>
      <c r="X2" s="12" t="s">
        <v>111</v>
      </c>
      <c r="Y2" s="12" t="s">
        <v>112</v>
      </c>
      <c r="Z2" s="12" t="s">
        <v>113</v>
      </c>
      <c r="AA2" s="12" t="s">
        <v>114</v>
      </c>
      <c r="AB2" s="12" t="s">
        <v>115</v>
      </c>
      <c r="AC2" s="12" t="s">
        <v>116</v>
      </c>
      <c r="AD2" s="3"/>
      <c r="AE2" s="12" t="s">
        <v>109</v>
      </c>
      <c r="AF2" s="12" t="s">
        <v>110</v>
      </c>
      <c r="AG2" s="12" t="s">
        <v>111</v>
      </c>
      <c r="AH2" s="12" t="s">
        <v>112</v>
      </c>
      <c r="AI2" s="12" t="s">
        <v>113</v>
      </c>
      <c r="AJ2" s="12" t="s">
        <v>114</v>
      </c>
      <c r="AK2" s="12" t="s">
        <v>115</v>
      </c>
      <c r="AL2" s="12" t="s">
        <v>116</v>
      </c>
    </row>
    <row r="3" spans="1:38" ht="18.5" x14ac:dyDescent="0.4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H3" t="str">
        <f t="shared" ref="H3:H22" si="0">TEXT(G3,"dd")</f>
        <v>15</v>
      </c>
      <c r="I3" t="str">
        <f t="shared" ref="I3:I22" si="1">TEXT(G3,"ddd")</f>
        <v>Sat</v>
      </c>
      <c r="J3" t="str">
        <f t="shared" ref="J3:J22" si="2">TEXT(G3,"dddd")</f>
        <v>Saturday</v>
      </c>
      <c r="K3" s="3" t="str">
        <f t="shared" ref="K3:K22" si="3">TEXT(G3,"yyyy")</f>
        <v>2023</v>
      </c>
      <c r="L3" s="3" t="str">
        <f t="shared" ref="L3:L22" si="4">TEXT(G3,"mmm")</f>
        <v>Apr</v>
      </c>
      <c r="M3" s="3" t="str">
        <f t="shared" ref="M3:M22" si="5">TEXT(G3,"mmmm")</f>
        <v>April</v>
      </c>
      <c r="O3" s="10" t="s">
        <v>96</v>
      </c>
      <c r="P3">
        <f>SUM(E2:E22)</f>
        <v>1646831</v>
      </c>
      <c r="R3" t="s">
        <v>18</v>
      </c>
      <c r="S3" t="s">
        <v>20</v>
      </c>
      <c r="T3" t="s">
        <v>18</v>
      </c>
      <c r="V3" s="8" t="s">
        <v>106</v>
      </c>
      <c r="W3" s="7" t="s">
        <v>31</v>
      </c>
      <c r="X3" s="7" t="s">
        <v>11</v>
      </c>
      <c r="Y3" s="7" t="s">
        <v>12</v>
      </c>
      <c r="Z3" s="7" t="s">
        <v>15</v>
      </c>
      <c r="AA3" s="7" t="s">
        <v>9</v>
      </c>
      <c r="AB3" s="7" t="s">
        <v>27</v>
      </c>
      <c r="AC3" s="11" t="s">
        <v>107</v>
      </c>
      <c r="AE3" s="8" t="s">
        <v>106</v>
      </c>
      <c r="AF3" s="7" t="s">
        <v>31</v>
      </c>
      <c r="AG3" s="7" t="s">
        <v>11</v>
      </c>
      <c r="AH3" s="7" t="s">
        <v>12</v>
      </c>
      <c r="AI3" s="7" t="s">
        <v>15</v>
      </c>
      <c r="AJ3" s="7" t="s">
        <v>9</v>
      </c>
      <c r="AK3" s="7" t="s">
        <v>27</v>
      </c>
      <c r="AL3" s="11" t="s">
        <v>107</v>
      </c>
    </row>
    <row r="4" spans="1:38" ht="18.5" x14ac:dyDescent="0.4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H4" t="str">
        <f t="shared" si="0"/>
        <v>13</v>
      </c>
      <c r="I4" t="str">
        <f t="shared" si="1"/>
        <v>Wed</v>
      </c>
      <c r="J4" t="str">
        <f t="shared" si="2"/>
        <v>Wednesday</v>
      </c>
      <c r="K4" s="3" t="str">
        <f t="shared" si="3"/>
        <v>2013</v>
      </c>
      <c r="L4" s="3" t="str">
        <f t="shared" si="4"/>
        <v>Feb</v>
      </c>
      <c r="M4" s="3" t="str">
        <f t="shared" si="5"/>
        <v>February</v>
      </c>
      <c r="O4" s="10" t="s">
        <v>97</v>
      </c>
      <c r="P4">
        <f>MEDIAN(E2:E22)</f>
        <v>85296</v>
      </c>
      <c r="R4">
        <f>SUMIF(C2:C22,$R$3,E2:E22)</f>
        <v>190822</v>
      </c>
      <c r="S4">
        <f>COUNTIF(C2:C22,$S$3)</f>
        <v>4</v>
      </c>
      <c r="T4">
        <f>AVERAGEIF(C2:C22,$T$3,E2:E22)</f>
        <v>63607.333333333336</v>
      </c>
      <c r="V4" s="7" t="s">
        <v>8</v>
      </c>
      <c r="W4">
        <v>43434</v>
      </c>
      <c r="X4">
        <v>288373</v>
      </c>
      <c r="Y4">
        <v>50379</v>
      </c>
      <c r="Z4">
        <v>0</v>
      </c>
      <c r="AA4">
        <v>100644</v>
      </c>
      <c r="AB4">
        <v>0</v>
      </c>
      <c r="AC4">
        <v>482830</v>
      </c>
      <c r="AE4" s="7" t="s">
        <v>8</v>
      </c>
      <c r="AF4">
        <f>COUNTIFS($C:$C,$AE4,$D:$D,AF$3)</f>
        <v>1</v>
      </c>
      <c r="AG4">
        <f t="shared" ref="AG4:AK8" si="6">COUNTIFS($C:$C,$AE4,$D:$D,AG$3)</f>
        <v>3</v>
      </c>
      <c r="AH4">
        <f t="shared" si="6"/>
        <v>1</v>
      </c>
      <c r="AI4">
        <f t="shared" si="6"/>
        <v>0</v>
      </c>
      <c r="AJ4">
        <f t="shared" si="6"/>
        <v>1</v>
      </c>
      <c r="AK4">
        <f t="shared" si="6"/>
        <v>0</v>
      </c>
      <c r="AL4">
        <f>SUM(AF4:AK4)</f>
        <v>6</v>
      </c>
    </row>
    <row r="5" spans="1:38" ht="18.5" x14ac:dyDescent="0.4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H5" t="str">
        <f t="shared" si="0"/>
        <v>10</v>
      </c>
      <c r="I5" t="str">
        <f t="shared" si="1"/>
        <v>Mon</v>
      </c>
      <c r="J5" t="str">
        <f t="shared" si="2"/>
        <v>Monday</v>
      </c>
      <c r="K5" s="3" t="str">
        <f t="shared" si="3"/>
        <v>2012</v>
      </c>
      <c r="L5" s="3" t="str">
        <f t="shared" si="4"/>
        <v>Sep</v>
      </c>
      <c r="M5" s="3" t="str">
        <f t="shared" si="5"/>
        <v>September</v>
      </c>
      <c r="O5" s="10" t="s">
        <v>98</v>
      </c>
      <c r="P5">
        <f>MODE(E2:E22)</f>
        <v>97839</v>
      </c>
      <c r="V5" s="7" t="s">
        <v>14</v>
      </c>
      <c r="W5">
        <v>0</v>
      </c>
      <c r="X5">
        <v>0</v>
      </c>
      <c r="Y5">
        <v>0</v>
      </c>
      <c r="Z5">
        <v>90217</v>
      </c>
      <c r="AA5">
        <v>97839</v>
      </c>
      <c r="AB5">
        <v>105996</v>
      </c>
      <c r="AC5">
        <v>294052</v>
      </c>
      <c r="AE5" s="7" t="s">
        <v>14</v>
      </c>
      <c r="AF5">
        <f t="shared" ref="AF5:AF8" si="7">COUNTIFS($C:$C,$AE5,$D:$D,AF$3)</f>
        <v>0</v>
      </c>
      <c r="AG5">
        <f t="shared" si="6"/>
        <v>0</v>
      </c>
      <c r="AH5">
        <f t="shared" si="6"/>
        <v>0</v>
      </c>
      <c r="AI5">
        <f t="shared" si="6"/>
        <v>1</v>
      </c>
      <c r="AJ5">
        <f t="shared" si="6"/>
        <v>1</v>
      </c>
      <c r="AK5">
        <f t="shared" si="6"/>
        <v>2</v>
      </c>
      <c r="AL5">
        <f t="shared" ref="AL5:AL8" si="8">SUM(AF5:AK5)</f>
        <v>4</v>
      </c>
    </row>
    <row r="6" spans="1:38" ht="18.5" x14ac:dyDescent="0.4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H6" t="str">
        <f t="shared" si="0"/>
        <v>03</v>
      </c>
      <c r="I6" t="str">
        <f t="shared" si="1"/>
        <v>Wed</v>
      </c>
      <c r="J6" t="str">
        <f t="shared" si="2"/>
        <v>Wednesday</v>
      </c>
      <c r="K6" s="3" t="str">
        <f t="shared" si="3"/>
        <v>2017</v>
      </c>
      <c r="L6" s="3" t="str">
        <f t="shared" si="4"/>
        <v>May</v>
      </c>
      <c r="M6" s="3" t="str">
        <f t="shared" si="5"/>
        <v>May</v>
      </c>
      <c r="O6" s="10" t="s">
        <v>99</v>
      </c>
      <c r="P6">
        <f>VAR(E2:E22)</f>
        <v>647504413.56190491</v>
      </c>
      <c r="V6" s="7" t="s">
        <v>18</v>
      </c>
      <c r="W6">
        <v>0</v>
      </c>
      <c r="Y6">
        <v>47342</v>
      </c>
      <c r="Z6">
        <v>0</v>
      </c>
      <c r="AA6">
        <v>104364</v>
      </c>
      <c r="AB6">
        <v>0</v>
      </c>
      <c r="AC6">
        <v>151706</v>
      </c>
      <c r="AE6" s="7" t="s">
        <v>18</v>
      </c>
      <c r="AF6">
        <f t="shared" si="7"/>
        <v>0</v>
      </c>
      <c r="AG6">
        <f t="shared" si="6"/>
        <v>1</v>
      </c>
      <c r="AH6">
        <f t="shared" si="6"/>
        <v>1</v>
      </c>
      <c r="AI6">
        <f t="shared" si="6"/>
        <v>0</v>
      </c>
      <c r="AJ6">
        <f t="shared" si="6"/>
        <v>1</v>
      </c>
      <c r="AK6">
        <f t="shared" si="6"/>
        <v>0</v>
      </c>
      <c r="AL6">
        <f t="shared" si="8"/>
        <v>3</v>
      </c>
    </row>
    <row r="7" spans="1:38" ht="18.5" x14ac:dyDescent="0.4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H7" t="str">
        <f t="shared" si="0"/>
        <v>21</v>
      </c>
      <c r="I7" t="str">
        <f t="shared" si="1"/>
        <v>Sun</v>
      </c>
      <c r="J7" t="str">
        <f t="shared" si="2"/>
        <v>Sunday</v>
      </c>
      <c r="K7" s="3" t="str">
        <f t="shared" si="3"/>
        <v>2012</v>
      </c>
      <c r="L7" s="3" t="str">
        <f t="shared" si="4"/>
        <v>Oct</v>
      </c>
      <c r="M7" s="3" t="str">
        <f t="shared" si="5"/>
        <v>October</v>
      </c>
      <c r="O7" s="10" t="s">
        <v>100</v>
      </c>
      <c r="P7">
        <f>STDEV(E2:E22)</f>
        <v>25446.108023859069</v>
      </c>
      <c r="S7" s="3"/>
      <c r="V7" s="7" t="s">
        <v>20</v>
      </c>
      <c r="W7">
        <v>0</v>
      </c>
      <c r="X7">
        <v>99163</v>
      </c>
      <c r="Y7">
        <v>0</v>
      </c>
      <c r="Z7">
        <v>288291</v>
      </c>
      <c r="AA7">
        <v>0</v>
      </c>
      <c r="AB7">
        <v>0</v>
      </c>
      <c r="AC7">
        <v>387454</v>
      </c>
      <c r="AE7" s="7" t="s">
        <v>20</v>
      </c>
      <c r="AF7">
        <f t="shared" si="7"/>
        <v>0</v>
      </c>
      <c r="AG7">
        <f t="shared" si="6"/>
        <v>1</v>
      </c>
      <c r="AH7">
        <f t="shared" si="6"/>
        <v>0</v>
      </c>
      <c r="AI7">
        <f t="shared" si="6"/>
        <v>3</v>
      </c>
      <c r="AJ7">
        <f t="shared" si="6"/>
        <v>0</v>
      </c>
      <c r="AK7">
        <f t="shared" si="6"/>
        <v>0</v>
      </c>
      <c r="AL7">
        <f t="shared" si="8"/>
        <v>4</v>
      </c>
    </row>
    <row r="8" spans="1:38" ht="18.5" x14ac:dyDescent="0.4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  <c r="H8" t="str">
        <f t="shared" si="0"/>
        <v>08</v>
      </c>
      <c r="I8" t="str">
        <f t="shared" si="1"/>
        <v>Wed</v>
      </c>
      <c r="J8" t="str">
        <f t="shared" si="2"/>
        <v>Wednesday</v>
      </c>
      <c r="K8" s="3" t="str">
        <f t="shared" si="3"/>
        <v>2020</v>
      </c>
      <c r="L8" s="3" t="str">
        <f t="shared" si="4"/>
        <v>Jan</v>
      </c>
      <c r="M8" s="3" t="str">
        <f t="shared" si="5"/>
        <v>January</v>
      </c>
      <c r="O8" s="10" t="s">
        <v>101</v>
      </c>
      <c r="P8">
        <f>COUNT(E2:E22)</f>
        <v>21</v>
      </c>
      <c r="R8" s="3"/>
      <c r="S8" s="3"/>
      <c r="V8" s="7" t="s">
        <v>24</v>
      </c>
      <c r="W8">
        <v>0</v>
      </c>
      <c r="X8">
        <v>0</v>
      </c>
      <c r="Y8">
        <v>83883</v>
      </c>
      <c r="Z8">
        <v>53416</v>
      </c>
      <c r="AA8">
        <v>104341</v>
      </c>
      <c r="AB8">
        <v>50033</v>
      </c>
      <c r="AC8">
        <v>291673</v>
      </c>
      <c r="AE8" s="7" t="s">
        <v>24</v>
      </c>
      <c r="AF8">
        <f t="shared" si="7"/>
        <v>0</v>
      </c>
      <c r="AG8">
        <f t="shared" si="6"/>
        <v>0</v>
      </c>
      <c r="AH8">
        <f t="shared" si="6"/>
        <v>1</v>
      </c>
      <c r="AI8">
        <f t="shared" si="6"/>
        <v>1</v>
      </c>
      <c r="AJ8">
        <f t="shared" si="6"/>
        <v>1</v>
      </c>
      <c r="AK8">
        <f t="shared" si="6"/>
        <v>1</v>
      </c>
      <c r="AL8">
        <f t="shared" si="8"/>
        <v>4</v>
      </c>
    </row>
    <row r="9" spans="1:38" ht="18.5" x14ac:dyDescent="0.4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  <c r="H9" t="str">
        <f t="shared" si="0"/>
        <v>16</v>
      </c>
      <c r="I9" t="str">
        <f t="shared" si="1"/>
        <v>Wed</v>
      </c>
      <c r="J9" t="str">
        <f t="shared" si="2"/>
        <v>Wednesday</v>
      </c>
      <c r="K9" s="3" t="str">
        <f t="shared" si="3"/>
        <v>2016</v>
      </c>
      <c r="L9" s="3" t="str">
        <f t="shared" si="4"/>
        <v>Nov</v>
      </c>
      <c r="M9" s="3" t="str">
        <f t="shared" si="5"/>
        <v>November</v>
      </c>
      <c r="O9" s="10" t="s">
        <v>102</v>
      </c>
      <c r="P9">
        <f>COUNTA(E2:E22)</f>
        <v>21</v>
      </c>
      <c r="R9" s="3"/>
      <c r="S9" s="3"/>
    </row>
    <row r="10" spans="1:38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  <c r="H10" t="str">
        <f t="shared" si="0"/>
        <v>13</v>
      </c>
      <c r="I10" t="str">
        <f t="shared" si="1"/>
        <v>Fri</v>
      </c>
      <c r="J10" t="str">
        <f t="shared" si="2"/>
        <v>Friday</v>
      </c>
      <c r="K10" s="3" t="str">
        <f t="shared" si="3"/>
        <v>2023</v>
      </c>
      <c r="L10" s="3" t="str">
        <f t="shared" si="4"/>
        <v>Oct</v>
      </c>
      <c r="M10" s="3" t="str">
        <f t="shared" si="5"/>
        <v>October</v>
      </c>
      <c r="R10" s="3"/>
      <c r="S10" s="3"/>
    </row>
    <row r="11" spans="1:38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  <c r="H11" t="str">
        <f t="shared" si="0"/>
        <v>13</v>
      </c>
      <c r="I11" t="str">
        <f t="shared" si="1"/>
        <v>Fri</v>
      </c>
      <c r="J11" t="str">
        <f t="shared" si="2"/>
        <v>Friday</v>
      </c>
      <c r="K11" s="3" t="str">
        <f t="shared" si="3"/>
        <v>2012</v>
      </c>
      <c r="L11" s="3" t="str">
        <f t="shared" si="4"/>
        <v>Jul</v>
      </c>
      <c r="M11" s="3" t="str">
        <f t="shared" si="5"/>
        <v>July</v>
      </c>
      <c r="R11" s="3"/>
      <c r="S11" s="3"/>
    </row>
    <row r="12" spans="1:38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  <c r="H12" t="str">
        <f t="shared" si="0"/>
        <v>11</v>
      </c>
      <c r="I12" t="str">
        <f t="shared" si="1"/>
        <v>Sun</v>
      </c>
      <c r="J12" t="str">
        <f t="shared" si="2"/>
        <v>Sunday</v>
      </c>
      <c r="K12" s="3" t="str">
        <f t="shared" si="3"/>
        <v>2018</v>
      </c>
      <c r="L12" s="3" t="str">
        <f t="shared" si="4"/>
        <v>Nov</v>
      </c>
      <c r="M12" s="3" t="str">
        <f t="shared" si="5"/>
        <v>November</v>
      </c>
      <c r="R12" s="3"/>
    </row>
    <row r="13" spans="1:38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  <c r="H13" t="str">
        <f t="shared" si="0"/>
        <v>17</v>
      </c>
      <c r="I13" t="str">
        <f t="shared" si="1"/>
        <v>Sun</v>
      </c>
      <c r="J13" t="str">
        <f t="shared" si="2"/>
        <v>Sunday</v>
      </c>
      <c r="K13" s="3" t="str">
        <f t="shared" si="3"/>
        <v>2019</v>
      </c>
      <c r="L13" s="3" t="str">
        <f t="shared" si="4"/>
        <v>Nov</v>
      </c>
      <c r="M13" s="3" t="str">
        <f t="shared" si="5"/>
        <v>November</v>
      </c>
      <c r="R13" s="3"/>
    </row>
    <row r="14" spans="1:38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  <c r="H14" t="str">
        <f t="shared" si="0"/>
        <v>01</v>
      </c>
      <c r="I14" t="str">
        <f t="shared" si="1"/>
        <v>Sat</v>
      </c>
      <c r="J14" t="str">
        <f t="shared" si="2"/>
        <v>Saturday</v>
      </c>
      <c r="K14" s="3" t="str">
        <f t="shared" si="3"/>
        <v>2020</v>
      </c>
      <c r="L14" s="3" t="str">
        <f t="shared" si="4"/>
        <v>Aug</v>
      </c>
      <c r="M14" s="3" t="str">
        <f t="shared" si="5"/>
        <v>August</v>
      </c>
    </row>
    <row r="15" spans="1:38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  <c r="H15" t="str">
        <f t="shared" si="0"/>
        <v>25</v>
      </c>
      <c r="I15" t="str">
        <f t="shared" si="1"/>
        <v>Tue</v>
      </c>
      <c r="J15" t="str">
        <f t="shared" si="2"/>
        <v>Tuesday</v>
      </c>
      <c r="K15" s="3" t="str">
        <f t="shared" si="3"/>
        <v>2025</v>
      </c>
      <c r="L15" s="3" t="str">
        <f t="shared" si="4"/>
        <v>Feb</v>
      </c>
      <c r="M15" s="3" t="str">
        <f t="shared" si="5"/>
        <v>February</v>
      </c>
    </row>
    <row r="16" spans="1:38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  <c r="H16" t="str">
        <f t="shared" si="0"/>
        <v>25</v>
      </c>
      <c r="I16" t="str">
        <f t="shared" si="1"/>
        <v>Sun</v>
      </c>
      <c r="J16" t="str">
        <f t="shared" si="2"/>
        <v>Sunday</v>
      </c>
      <c r="K16" s="3" t="str">
        <f t="shared" si="3"/>
        <v>2016</v>
      </c>
      <c r="L16" s="3" t="str">
        <f t="shared" si="4"/>
        <v>Sep</v>
      </c>
      <c r="M16" s="3" t="str">
        <f t="shared" si="5"/>
        <v>September</v>
      </c>
    </row>
    <row r="17" spans="1:13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  <c r="H17" t="str">
        <f t="shared" si="0"/>
        <v>11</v>
      </c>
      <c r="I17" t="str">
        <f t="shared" si="1"/>
        <v>Sat</v>
      </c>
      <c r="J17" t="str">
        <f t="shared" si="2"/>
        <v>Saturday</v>
      </c>
      <c r="K17" s="3" t="str">
        <f t="shared" si="3"/>
        <v>2017</v>
      </c>
      <c r="L17" s="3" t="str">
        <f t="shared" si="4"/>
        <v>Feb</v>
      </c>
      <c r="M17" s="3" t="str">
        <f t="shared" si="5"/>
        <v>February</v>
      </c>
    </row>
    <row r="18" spans="1:13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  <c r="H18" t="str">
        <f t="shared" si="0"/>
        <v>02</v>
      </c>
      <c r="I18" t="str">
        <f t="shared" si="1"/>
        <v>Thu</v>
      </c>
      <c r="J18" t="str">
        <f t="shared" si="2"/>
        <v>Thursday</v>
      </c>
      <c r="K18" s="3" t="str">
        <f t="shared" si="3"/>
        <v>2017</v>
      </c>
      <c r="L18" s="3" t="str">
        <f t="shared" si="4"/>
        <v>Feb</v>
      </c>
      <c r="M18" s="3" t="str">
        <f t="shared" si="5"/>
        <v>February</v>
      </c>
    </row>
    <row r="19" spans="1:13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  <c r="H19" t="str">
        <f t="shared" si="0"/>
        <v>26</v>
      </c>
      <c r="I19" t="str">
        <f t="shared" si="1"/>
        <v>Sat</v>
      </c>
      <c r="J19" t="str">
        <f t="shared" si="2"/>
        <v>Saturday</v>
      </c>
      <c r="K19" s="3" t="str">
        <f t="shared" si="3"/>
        <v>2025</v>
      </c>
      <c r="L19" s="3" t="str">
        <f t="shared" si="4"/>
        <v>Apr</v>
      </c>
      <c r="M19" s="3" t="str">
        <f t="shared" si="5"/>
        <v>April</v>
      </c>
    </row>
    <row r="20" spans="1:13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  <c r="H20" t="str">
        <f t="shared" si="0"/>
        <v>13</v>
      </c>
      <c r="I20" t="str">
        <f t="shared" si="1"/>
        <v>Sun</v>
      </c>
      <c r="J20" t="str">
        <f t="shared" si="2"/>
        <v>Sunday</v>
      </c>
      <c r="K20" s="3" t="str">
        <f t="shared" si="3"/>
        <v>2013</v>
      </c>
      <c r="L20" s="3" t="str">
        <f t="shared" si="4"/>
        <v>Jan</v>
      </c>
      <c r="M20" s="3" t="str">
        <f t="shared" si="5"/>
        <v>January</v>
      </c>
    </row>
    <row r="21" spans="1:13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  <c r="H21" t="str">
        <f t="shared" si="0"/>
        <v>15</v>
      </c>
      <c r="I21" t="str">
        <f t="shared" si="1"/>
        <v>Wed</v>
      </c>
      <c r="J21" t="str">
        <f t="shared" si="2"/>
        <v>Wednesday</v>
      </c>
      <c r="K21" s="3" t="str">
        <f t="shared" si="3"/>
        <v>2017</v>
      </c>
      <c r="L21" s="3" t="str">
        <f t="shared" si="4"/>
        <v>Feb</v>
      </c>
      <c r="M21" s="3" t="str">
        <f t="shared" si="5"/>
        <v>February</v>
      </c>
    </row>
    <row r="22" spans="1:13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  <c r="H22" t="str">
        <f t="shared" si="0"/>
        <v>28</v>
      </c>
      <c r="I22" t="str">
        <f t="shared" si="1"/>
        <v>Mon</v>
      </c>
      <c r="J22" t="str">
        <f t="shared" si="2"/>
        <v>Monday</v>
      </c>
      <c r="K22" s="3" t="str">
        <f t="shared" si="3"/>
        <v>2025</v>
      </c>
      <c r="L22" s="3" t="str">
        <f t="shared" si="4"/>
        <v>Apr</v>
      </c>
      <c r="M22" s="3" t="str">
        <f t="shared" si="5"/>
        <v>April</v>
      </c>
    </row>
  </sheetData>
  <conditionalFormatting sqref="A2:G22">
    <cfRule type="expression" dxfId="15" priority="14">
      <formula>$C2=#REF!</formula>
    </cfRule>
  </conditionalFormatting>
  <conditionalFormatting sqref="K2:K22">
    <cfRule type="expression" dxfId="14" priority="11">
      <formula>$C2=#REF!</formula>
    </cfRule>
  </conditionalFormatting>
  <conditionalFormatting sqref="L2:Q2 L3:M22">
    <cfRule type="expression" dxfId="13" priority="8">
      <formula>$C2=#REF!</formula>
    </cfRule>
  </conditionalFormatting>
  <conditionalFormatting sqref="R2:V2 AD2">
    <cfRule type="expression" dxfId="12" priority="10">
      <formula>$C2=#REF!</formula>
    </cfRule>
  </conditionalFormatting>
  <conditionalFormatting sqref="R8:R13">
    <cfRule type="expression" dxfId="11" priority="5">
      <formula>$C8=#REF!</formula>
    </cfRule>
  </conditionalFormatting>
  <conditionalFormatting sqref="W3:AC3">
    <cfRule type="expression" dxfId="10" priority="4">
      <formula>$C3=#REF!</formula>
    </cfRule>
  </conditionalFormatting>
  <conditionalFormatting sqref="S7:S11">
    <cfRule type="expression" dxfId="9" priority="7">
      <formula>$C7=#REF!</formula>
    </cfRule>
  </conditionalFormatting>
  <conditionalFormatting sqref="V4:V8">
    <cfRule type="expression" dxfId="8" priority="6">
      <formula>$C4=#REF!</formula>
    </cfRule>
  </conditionalFormatting>
  <conditionalFormatting sqref="AE2">
    <cfRule type="expression" dxfId="7" priority="3">
      <formula>$C2=#REF!</formula>
    </cfRule>
  </conditionalFormatting>
  <conditionalFormatting sqref="AF3:AL3">
    <cfRule type="expression" dxfId="6" priority="1">
      <formula>$C3=#REF!</formula>
    </cfRule>
  </conditionalFormatting>
  <conditionalFormatting sqref="AE4:AE8">
    <cfRule type="expression" dxfId="5" priority="2">
      <formula>$C4=#REF!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workbookViewId="0">
      <selection activeCell="E11" sqref="E11"/>
    </sheetView>
  </sheetViews>
  <sheetFormatPr defaultRowHeight="14.5" x14ac:dyDescent="0.35"/>
  <cols>
    <col min="2" max="2" width="55" bestFit="1" customWidth="1"/>
    <col min="5" max="5" width="12.81640625" customWidth="1"/>
    <col min="6" max="6" width="7.7265625" customWidth="1"/>
    <col min="7" max="7" width="13.08984375" customWidth="1"/>
    <col min="8" max="8" width="9.6328125" customWidth="1"/>
    <col min="9" max="9" width="7.81640625" customWidth="1"/>
    <col min="10" max="10" width="6.54296875" bestFit="1" customWidth="1"/>
    <col min="11" max="11" width="12.54296875" customWidth="1"/>
  </cols>
  <sheetData>
    <row r="2" spans="2:11" x14ac:dyDescent="0.35">
      <c r="B2" s="5" t="s">
        <v>75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</row>
    <row r="3" spans="2:11" x14ac:dyDescent="0.35">
      <c r="B3" s="3" t="s">
        <v>76</v>
      </c>
      <c r="E3">
        <v>101</v>
      </c>
      <c r="F3" t="s">
        <v>35</v>
      </c>
      <c r="G3" t="s">
        <v>8</v>
      </c>
      <c r="H3" t="s">
        <v>15</v>
      </c>
      <c r="I3">
        <v>75000</v>
      </c>
      <c r="J3" t="s">
        <v>84</v>
      </c>
      <c r="K3" t="s">
        <v>85</v>
      </c>
    </row>
    <row r="4" spans="2:11" x14ac:dyDescent="0.35">
      <c r="B4" s="3" t="s">
        <v>77</v>
      </c>
      <c r="E4">
        <v>102</v>
      </c>
      <c r="F4" t="s">
        <v>86</v>
      </c>
      <c r="G4" t="s">
        <v>8</v>
      </c>
      <c r="H4" t="s">
        <v>11</v>
      </c>
      <c r="I4">
        <v>65000</v>
      </c>
      <c r="J4" t="s">
        <v>84</v>
      </c>
      <c r="K4" t="s">
        <v>85</v>
      </c>
    </row>
    <row r="5" spans="2:11" x14ac:dyDescent="0.35">
      <c r="B5" s="3" t="s">
        <v>78</v>
      </c>
      <c r="E5">
        <v>103</v>
      </c>
      <c r="F5" t="s">
        <v>87</v>
      </c>
      <c r="G5" t="s">
        <v>18</v>
      </c>
      <c r="H5" t="s">
        <v>11</v>
      </c>
      <c r="I5">
        <v>60000</v>
      </c>
      <c r="J5" t="s">
        <v>84</v>
      </c>
      <c r="K5" t="s">
        <v>88</v>
      </c>
    </row>
    <row r="6" spans="2:11" x14ac:dyDescent="0.35">
      <c r="B6" s="3" t="s">
        <v>79</v>
      </c>
      <c r="E6">
        <v>104</v>
      </c>
      <c r="F6" t="s">
        <v>35</v>
      </c>
      <c r="G6" t="s">
        <v>8</v>
      </c>
      <c r="H6" t="s">
        <v>15</v>
      </c>
      <c r="I6">
        <v>75000</v>
      </c>
      <c r="J6" t="s">
        <v>84</v>
      </c>
      <c r="K6" t="s">
        <v>85</v>
      </c>
    </row>
    <row r="7" spans="2:11" x14ac:dyDescent="0.35">
      <c r="B7" s="3" t="s">
        <v>80</v>
      </c>
      <c r="E7">
        <v>105</v>
      </c>
      <c r="F7" t="s">
        <v>86</v>
      </c>
      <c r="G7" t="s">
        <v>8</v>
      </c>
      <c r="H7" t="s">
        <v>11</v>
      </c>
      <c r="I7">
        <v>65000</v>
      </c>
      <c r="J7" t="s">
        <v>84</v>
      </c>
      <c r="K7" t="s">
        <v>85</v>
      </c>
    </row>
    <row r="8" spans="2:11" x14ac:dyDescent="0.35">
      <c r="B8" s="3" t="s">
        <v>81</v>
      </c>
      <c r="E8">
        <v>106</v>
      </c>
      <c r="F8" t="s">
        <v>87</v>
      </c>
      <c r="G8" t="s">
        <v>18</v>
      </c>
      <c r="H8" t="s">
        <v>11</v>
      </c>
      <c r="I8">
        <v>60000</v>
      </c>
      <c r="J8" t="s">
        <v>84</v>
      </c>
      <c r="K8" t="s">
        <v>88</v>
      </c>
    </row>
    <row r="9" spans="2:11" x14ac:dyDescent="0.35">
      <c r="B9" s="3" t="s">
        <v>82</v>
      </c>
      <c r="E9">
        <v>107</v>
      </c>
      <c r="F9" t="s">
        <v>35</v>
      </c>
      <c r="G9" t="s">
        <v>8</v>
      </c>
      <c r="H9" t="s">
        <v>15</v>
      </c>
      <c r="I9">
        <v>75000</v>
      </c>
      <c r="J9" t="s">
        <v>84</v>
      </c>
      <c r="K9" t="s">
        <v>85</v>
      </c>
    </row>
    <row r="10" spans="2:11" x14ac:dyDescent="0.35">
      <c r="B10" s="3" t="s">
        <v>83</v>
      </c>
      <c r="E10">
        <v>108</v>
      </c>
      <c r="F10" t="s">
        <v>86</v>
      </c>
      <c r="G10" t="s">
        <v>8</v>
      </c>
      <c r="H10" t="s">
        <v>11</v>
      </c>
      <c r="I10">
        <v>65000</v>
      </c>
      <c r="J10" t="s">
        <v>84</v>
      </c>
      <c r="K10" t="s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sqref="A1:G22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1.08984375" bestFit="1" customWidth="1"/>
    <col min="4" max="4" width="10.453125" bestFit="1" customWidth="1"/>
    <col min="5" max="5" width="6.81640625" bestFit="1" customWidth="1"/>
    <col min="6" max="6" width="10.453125" bestFit="1" customWidth="1"/>
    <col min="7" max="7" width="10.54296875" bestFit="1" customWidth="1"/>
    <col min="11" max="11" width="11.08984375" bestFit="1" customWidth="1"/>
    <col min="12" max="12" width="10.453125" bestFit="1" customWidth="1"/>
    <col min="14" max="14" width="14.36328125" bestFit="1" customWidth="1"/>
    <col min="15" max="15" width="12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6" ht="18.5" x14ac:dyDescent="0.45">
      <c r="A2" s="3">
        <v>1</v>
      </c>
      <c r="B2" s="3" t="s">
        <v>7</v>
      </c>
      <c r="C2" s="3" t="s">
        <v>8</v>
      </c>
      <c r="D2" s="3" t="s">
        <v>31</v>
      </c>
      <c r="E2" s="3">
        <v>43434</v>
      </c>
      <c r="F2" s="3" t="s">
        <v>10</v>
      </c>
      <c r="G2" s="4">
        <v>41196</v>
      </c>
      <c r="K2" s="13" t="s">
        <v>117</v>
      </c>
      <c r="L2" s="14"/>
      <c r="M2" s="14"/>
      <c r="N2" s="14"/>
      <c r="O2" s="14"/>
      <c r="P2" s="14"/>
    </row>
    <row r="3" spans="1:16" x14ac:dyDescent="0.35">
      <c r="A3" s="3">
        <v>2</v>
      </c>
      <c r="B3" s="3" t="str">
        <f>B2</f>
        <v>alice</v>
      </c>
      <c r="C3" s="3" t="s">
        <v>8</v>
      </c>
      <c r="D3" s="3" t="s">
        <v>11</v>
      </c>
      <c r="E3" s="3">
        <v>103563</v>
      </c>
      <c r="F3" s="3" t="s">
        <v>10</v>
      </c>
      <c r="G3" s="4">
        <v>45031</v>
      </c>
      <c r="J3" t="s">
        <v>118</v>
      </c>
      <c r="N3" t="s">
        <v>119</v>
      </c>
    </row>
    <row r="4" spans="1:16" x14ac:dyDescent="0.35">
      <c r="A4" s="3">
        <v>3</v>
      </c>
      <c r="B4" s="3" t="s">
        <v>7</v>
      </c>
      <c r="C4" s="3" t="s">
        <v>8</v>
      </c>
      <c r="D4" s="3" t="s">
        <v>12</v>
      </c>
      <c r="E4" s="3">
        <v>50379</v>
      </c>
      <c r="F4" s="3" t="s">
        <v>13</v>
      </c>
      <c r="G4" s="4">
        <v>41318</v>
      </c>
      <c r="J4">
        <v>1</v>
      </c>
      <c r="K4" s="1" t="s">
        <v>0</v>
      </c>
      <c r="L4">
        <v>20</v>
      </c>
      <c r="N4" s="1" t="s">
        <v>0</v>
      </c>
      <c r="O4">
        <v>20</v>
      </c>
    </row>
    <row r="5" spans="1:16" x14ac:dyDescent="0.35">
      <c r="A5" s="3">
        <v>4</v>
      </c>
      <c r="B5" s="3" t="str">
        <f>B4</f>
        <v>alice</v>
      </c>
      <c r="C5" s="3" t="s">
        <v>14</v>
      </c>
      <c r="D5" s="3" t="s">
        <v>15</v>
      </c>
      <c r="E5" s="3">
        <v>90217</v>
      </c>
      <c r="F5" s="3" t="s">
        <v>16</v>
      </c>
      <c r="G5" s="4">
        <v>41162</v>
      </c>
      <c r="J5">
        <v>2</v>
      </c>
      <c r="K5" s="1" t="s">
        <v>1</v>
      </c>
      <c r="L5" t="str">
        <f>VLOOKUP($L$4,$A$1:$G$22,J5,0)</f>
        <v>bob</v>
      </c>
      <c r="N5" s="1" t="s">
        <v>1</v>
      </c>
      <c r="O5" t="str">
        <f>VLOOKUP($O$4,$A$1:$G$22,MATCH(N5:N10,$A$1:$G$1,0),0)</f>
        <v>bob</v>
      </c>
    </row>
    <row r="6" spans="1:16" x14ac:dyDescent="0.35">
      <c r="A6" s="3">
        <v>5</v>
      </c>
      <c r="B6" s="3" t="s">
        <v>17</v>
      </c>
      <c r="C6" s="3" t="s">
        <v>18</v>
      </c>
      <c r="D6" s="3" t="s">
        <v>11</v>
      </c>
      <c r="E6" s="3">
        <v>39116</v>
      </c>
      <c r="F6" s="3" t="str">
        <f>F5</f>
        <v>Houston</v>
      </c>
      <c r="G6" s="4">
        <v>42858</v>
      </c>
      <c r="J6">
        <v>3</v>
      </c>
      <c r="K6" s="1" t="s">
        <v>2</v>
      </c>
      <c r="L6" t="str">
        <f t="shared" ref="L6:L10" si="0">VLOOKUP($L$4,$A$1:$G$22,J6,0)</f>
        <v>Finance</v>
      </c>
      <c r="N6" s="1" t="s">
        <v>2</v>
      </c>
      <c r="O6" t="str">
        <f t="shared" ref="O6:O10" si="1">VLOOKUP($O$4,$A$1:$G$22,MATCH(N6:N11,$A$1:$G$1,0),0)</f>
        <v>Finance</v>
      </c>
    </row>
    <row r="7" spans="1:16" x14ac:dyDescent="0.35">
      <c r="A7" s="3">
        <v>6</v>
      </c>
      <c r="B7" s="3" t="s">
        <v>19</v>
      </c>
      <c r="C7" s="3" t="s">
        <v>20</v>
      </c>
      <c r="D7" s="3" t="s">
        <v>15</v>
      </c>
      <c r="E7" s="3">
        <v>76566</v>
      </c>
      <c r="F7" s="3" t="s">
        <v>13</v>
      </c>
      <c r="G7" s="4">
        <v>41203</v>
      </c>
      <c r="J7">
        <v>4</v>
      </c>
      <c r="K7" s="1" t="s">
        <v>3</v>
      </c>
      <c r="L7" t="str">
        <f t="shared" si="0"/>
        <v>Assistant</v>
      </c>
      <c r="N7" s="1" t="s">
        <v>3</v>
      </c>
      <c r="O7" t="str">
        <f t="shared" si="1"/>
        <v>Assistant</v>
      </c>
    </row>
    <row r="8" spans="1:16" x14ac:dyDescent="0.35">
      <c r="A8" s="3">
        <v>7</v>
      </c>
      <c r="B8" s="3" t="s">
        <v>21</v>
      </c>
      <c r="C8" s="3" t="s">
        <v>20</v>
      </c>
      <c r="D8" s="3" t="s">
        <v>15</v>
      </c>
      <c r="E8" s="3">
        <v>113886</v>
      </c>
      <c r="F8" s="3" t="s">
        <v>22</v>
      </c>
      <c r="G8" s="4">
        <v>43838</v>
      </c>
      <c r="J8">
        <v>5</v>
      </c>
      <c r="K8" s="1" t="s">
        <v>4</v>
      </c>
      <c r="L8">
        <f t="shared" si="0"/>
        <v>85296</v>
      </c>
      <c r="N8" s="1" t="s">
        <v>4</v>
      </c>
      <c r="O8">
        <f t="shared" si="1"/>
        <v>85296</v>
      </c>
    </row>
    <row r="9" spans="1:16" x14ac:dyDescent="0.35">
      <c r="A9" s="3">
        <v>8</v>
      </c>
      <c r="B9" s="3" t="s">
        <v>23</v>
      </c>
      <c r="C9" s="3" t="s">
        <v>24</v>
      </c>
      <c r="D9" s="3" t="s">
        <v>9</v>
      </c>
      <c r="E9" s="3">
        <v>104341</v>
      </c>
      <c r="F9" s="3" t="s">
        <v>13</v>
      </c>
      <c r="G9" s="4">
        <v>42690</v>
      </c>
      <c r="J9">
        <v>6</v>
      </c>
      <c r="K9" s="1" t="s">
        <v>5</v>
      </c>
      <c r="L9" t="str">
        <f t="shared" si="0"/>
        <v>Houston</v>
      </c>
      <c r="N9" s="1" t="s">
        <v>5</v>
      </c>
      <c r="O9" t="str">
        <f t="shared" si="1"/>
        <v>Houston</v>
      </c>
    </row>
    <row r="10" spans="1:16" x14ac:dyDescent="0.35">
      <c r="A10" s="3">
        <v>9</v>
      </c>
      <c r="B10" s="3" t="s">
        <v>25</v>
      </c>
      <c r="C10" s="3" t="s">
        <v>8</v>
      </c>
      <c r="D10" s="3" t="s">
        <v>9</v>
      </c>
      <c r="E10" s="3">
        <v>100644</v>
      </c>
      <c r="F10" s="3" t="s">
        <v>10</v>
      </c>
      <c r="G10" s="4">
        <v>45212</v>
      </c>
      <c r="J10">
        <v>7</v>
      </c>
      <c r="K10" s="2" t="s">
        <v>6</v>
      </c>
      <c r="L10" s="6">
        <f t="shared" si="0"/>
        <v>42781</v>
      </c>
      <c r="N10" s="2" t="s">
        <v>6</v>
      </c>
      <c r="O10" s="6">
        <f>VLOOKUP($O$4,$A$1:$G$22,MATCH(N10:N15,$A$1:$G$1,0),0)</f>
        <v>42781</v>
      </c>
    </row>
    <row r="11" spans="1:16" x14ac:dyDescent="0.35">
      <c r="A11" s="3">
        <v>10</v>
      </c>
      <c r="B11" s="3" t="s">
        <v>26</v>
      </c>
      <c r="C11" s="3" t="s">
        <v>24</v>
      </c>
      <c r="D11" s="3" t="s">
        <v>27</v>
      </c>
      <c r="E11" s="3">
        <v>50033</v>
      </c>
      <c r="F11" s="3" t="s">
        <v>16</v>
      </c>
      <c r="G11" s="4">
        <v>41103</v>
      </c>
    </row>
    <row r="12" spans="1:16" x14ac:dyDescent="0.35">
      <c r="A12" s="3">
        <v>11</v>
      </c>
      <c r="B12" s="3" t="s">
        <v>25</v>
      </c>
      <c r="C12" s="3" t="s">
        <v>14</v>
      </c>
      <c r="D12" s="3" t="s">
        <v>27</v>
      </c>
      <c r="E12" s="3">
        <v>45014</v>
      </c>
      <c r="F12" s="3" t="s">
        <v>10</v>
      </c>
      <c r="G12" s="4">
        <v>43415</v>
      </c>
    </row>
    <row r="13" spans="1:16" x14ac:dyDescent="0.35">
      <c r="A13" s="3">
        <v>12</v>
      </c>
      <c r="B13" s="3" t="s">
        <v>28</v>
      </c>
      <c r="C13" s="3" t="s">
        <v>24</v>
      </c>
      <c r="D13" s="3" t="s">
        <v>15</v>
      </c>
      <c r="E13" s="3">
        <v>53416</v>
      </c>
      <c r="F13" s="3" t="s">
        <v>29</v>
      </c>
      <c r="G13" s="4">
        <v>43786</v>
      </c>
    </row>
    <row r="14" spans="1:16" x14ac:dyDescent="0.35">
      <c r="A14" s="3">
        <v>13</v>
      </c>
      <c r="B14" s="3" t="s">
        <v>26</v>
      </c>
      <c r="C14" s="3" t="s">
        <v>8</v>
      </c>
      <c r="D14" s="3" t="s">
        <v>11</v>
      </c>
      <c r="E14" s="3">
        <v>99514</v>
      </c>
      <c r="F14" s="3" t="s">
        <v>10</v>
      </c>
      <c r="G14" s="4">
        <v>44044</v>
      </c>
    </row>
    <row r="15" spans="1:16" x14ac:dyDescent="0.35">
      <c r="A15" s="3">
        <v>14</v>
      </c>
      <c r="B15" s="3" t="s">
        <v>23</v>
      </c>
      <c r="C15" s="3" t="s">
        <v>18</v>
      </c>
      <c r="D15" s="3" t="s">
        <v>9</v>
      </c>
      <c r="E15" s="3">
        <v>104364</v>
      </c>
      <c r="F15" s="3" t="s">
        <v>29</v>
      </c>
      <c r="G15" s="4">
        <v>45713</v>
      </c>
    </row>
    <row r="16" spans="1:16" x14ac:dyDescent="0.35">
      <c r="A16" s="3">
        <v>15</v>
      </c>
      <c r="B16" s="3" t="s">
        <v>26</v>
      </c>
      <c r="C16" s="3" t="s">
        <v>20</v>
      </c>
      <c r="D16" s="3" t="s">
        <v>11</v>
      </c>
      <c r="E16" s="3">
        <v>99163</v>
      </c>
      <c r="F16" s="3" t="s">
        <v>16</v>
      </c>
      <c r="G16" s="4">
        <v>42638</v>
      </c>
    </row>
    <row r="17" spans="1:7" x14ac:dyDescent="0.35">
      <c r="A17" s="3">
        <v>16</v>
      </c>
      <c r="B17" s="3" t="s">
        <v>21</v>
      </c>
      <c r="C17" s="3" t="s">
        <v>20</v>
      </c>
      <c r="D17" s="3" t="s">
        <v>15</v>
      </c>
      <c r="E17" s="3">
        <v>97839</v>
      </c>
      <c r="F17" s="3" t="s">
        <v>22</v>
      </c>
      <c r="G17" s="4">
        <v>42777</v>
      </c>
    </row>
    <row r="18" spans="1:7" x14ac:dyDescent="0.35">
      <c r="A18" s="3">
        <v>17</v>
      </c>
      <c r="B18" s="3" t="str">
        <f>B17</f>
        <v>david</v>
      </c>
      <c r="C18" s="3" t="s">
        <v>14</v>
      </c>
      <c r="D18" s="3" t="s">
        <v>9</v>
      </c>
      <c r="E18" s="3">
        <f>E17</f>
        <v>97839</v>
      </c>
      <c r="F18" s="3" t="s">
        <v>29</v>
      </c>
      <c r="G18" s="4">
        <v>42768</v>
      </c>
    </row>
    <row r="19" spans="1:7" x14ac:dyDescent="0.35">
      <c r="A19" s="3">
        <v>18</v>
      </c>
      <c r="B19" s="3" t="s">
        <v>19</v>
      </c>
      <c r="C19" s="3" t="s">
        <v>18</v>
      </c>
      <c r="D19" s="3" t="s">
        <v>12</v>
      </c>
      <c r="E19" s="3">
        <v>47342</v>
      </c>
      <c r="F19" s="3" t="s">
        <v>10</v>
      </c>
      <c r="G19" s="4">
        <v>45773</v>
      </c>
    </row>
    <row r="20" spans="1:7" x14ac:dyDescent="0.35">
      <c r="A20" s="3">
        <v>19</v>
      </c>
      <c r="B20" s="3" t="s">
        <v>28</v>
      </c>
      <c r="C20" s="3" t="s">
        <v>24</v>
      </c>
      <c r="D20" s="3" t="s">
        <v>12</v>
      </c>
      <c r="E20" s="3">
        <v>83883</v>
      </c>
      <c r="F20" s="3" t="s">
        <v>29</v>
      </c>
      <c r="G20" s="4">
        <v>41287</v>
      </c>
    </row>
    <row r="21" spans="1:7" x14ac:dyDescent="0.35">
      <c r="A21" s="3">
        <v>20</v>
      </c>
      <c r="B21" s="3" t="s">
        <v>19</v>
      </c>
      <c r="C21" s="3" t="s">
        <v>8</v>
      </c>
      <c r="D21" s="3" t="s">
        <v>11</v>
      </c>
      <c r="E21" s="3">
        <v>85296</v>
      </c>
      <c r="F21" s="3" t="s">
        <v>16</v>
      </c>
      <c r="G21" s="4">
        <v>42781</v>
      </c>
    </row>
    <row r="22" spans="1:7" x14ac:dyDescent="0.35">
      <c r="A22" s="3">
        <v>21</v>
      </c>
      <c r="B22" s="3" t="s">
        <v>30</v>
      </c>
      <c r="C22" s="3" t="s">
        <v>14</v>
      </c>
      <c r="D22" s="3" t="s">
        <v>27</v>
      </c>
      <c r="E22" s="3">
        <v>60982</v>
      </c>
      <c r="F22" s="3" t="s">
        <v>16</v>
      </c>
      <c r="G22" s="4">
        <v>45775</v>
      </c>
    </row>
  </sheetData>
  <mergeCells count="1">
    <mergeCell ref="K2:P2"/>
  </mergeCells>
  <conditionalFormatting sqref="A2:G22">
    <cfRule type="expression" dxfId="0" priority="1">
      <formula>$C2=$I$2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"/>
    </sheetView>
  </sheetViews>
  <sheetFormatPr defaultRowHeight="14.5" x14ac:dyDescent="0.35"/>
  <cols>
    <col min="1" max="1" width="12.08984375" customWidth="1"/>
    <col min="2" max="2" width="9.1796875" customWidth="1"/>
    <col min="3" max="3" width="5.81640625" customWidth="1"/>
    <col min="4" max="5" width="10.7265625" customWidth="1"/>
    <col min="6" max="6" width="10.7265625" bestFit="1" customWidth="1"/>
    <col min="7" max="7" width="8.26953125" customWidth="1"/>
    <col min="8" max="8" width="10.7265625" bestFit="1" customWidth="1"/>
  </cols>
  <sheetData>
    <row r="1" spans="1:2" x14ac:dyDescent="0.35">
      <c r="A1" s="15" t="s">
        <v>3</v>
      </c>
      <c r="B1" t="s">
        <v>15</v>
      </c>
    </row>
    <row r="2" spans="1:2" x14ac:dyDescent="0.35">
      <c r="A2" s="15" t="s">
        <v>2</v>
      </c>
      <c r="B2" t="s">
        <v>24</v>
      </c>
    </row>
    <row r="4" spans="1:2" x14ac:dyDescent="0.35">
      <c r="A4" t="s">
        <v>120</v>
      </c>
    </row>
    <row r="5" spans="1:2" x14ac:dyDescent="0.35">
      <c r="A5" s="16">
        <v>53416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Charts_IF</vt:lpstr>
      <vt:lpstr>Cases_Concat</vt:lpstr>
      <vt:lpstr>Extracting_Functions</vt:lpstr>
      <vt:lpstr>Split_Data</vt:lpstr>
      <vt:lpstr>Vlookup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</dc:creator>
  <cp:lastModifiedBy>SMG</cp:lastModifiedBy>
  <dcterms:created xsi:type="dcterms:W3CDTF">2025-12-01T14:55:49Z</dcterms:created>
  <dcterms:modified xsi:type="dcterms:W3CDTF">2025-12-05T14:40:03Z</dcterms:modified>
</cp:coreProperties>
</file>