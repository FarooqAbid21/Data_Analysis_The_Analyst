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bookViews>
    <workbookView xWindow="0" yWindow="0" windowWidth="19200" windowHeight="7050"/>
  </bookViews>
  <sheets>
    <sheet name="Data_Cleaning" sheetId="1" r:id="rId1"/>
    <sheet name="Concat_Data" sheetId="2" r:id="rId2"/>
    <sheet name="Conditional_Formatting" sheetId="3" r:id="rId3"/>
    <sheet name="Split_Data" sheetId="4" r:id="rId4"/>
    <sheet name="SplitData_Formula" sheetId="5" r:id="rId5"/>
    <sheet name="SUMIF_COUNTIF" sheetId="7" r:id="rId6"/>
    <sheet name="Sheet1" sheetId="8" r:id="rId7"/>
    <sheet name="VLookup_Value" sheetId="6" r:id="rId8"/>
  </sheets>
  <calcPr calcId="162913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E1048576" i="1" s="1"/>
  <c r="M5" i="6" l="1"/>
  <c r="M6" i="6"/>
  <c r="M7" i="6"/>
  <c r="M8" i="6"/>
  <c r="M9" i="6"/>
  <c r="M4" i="6"/>
  <c r="K5" i="6"/>
  <c r="K6" i="6"/>
  <c r="K7" i="6"/>
  <c r="K8" i="6"/>
  <c r="K9" i="6"/>
  <c r="K4" i="6"/>
  <c r="K4" i="7"/>
  <c r="J4" i="7"/>
  <c r="B8" i="5"/>
  <c r="C8" i="5"/>
  <c r="B7" i="5"/>
  <c r="C7" i="5"/>
  <c r="C3" i="5"/>
  <c r="C4" i="5"/>
  <c r="C5" i="5"/>
  <c r="C6" i="5"/>
  <c r="C2" i="5"/>
  <c r="B3" i="5"/>
  <c r="B4" i="5"/>
  <c r="B5" i="5"/>
  <c r="B6" i="5"/>
  <c r="B2" i="5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" i="3"/>
  <c r="E18" i="7" l="1"/>
  <c r="B18" i="7"/>
  <c r="F6" i="7"/>
  <c r="B5" i="7"/>
  <c r="B3" i="7"/>
  <c r="E18" i="6"/>
  <c r="B18" i="6"/>
  <c r="F6" i="6"/>
  <c r="B5" i="6"/>
  <c r="B3" i="6"/>
  <c r="B3" i="3" l="1"/>
  <c r="E18" i="3"/>
  <c r="B18" i="3"/>
  <c r="F6" i="3"/>
  <c r="B5" i="3"/>
  <c r="E18" i="1" l="1"/>
  <c r="B18" i="1"/>
  <c r="F6" i="1"/>
  <c r="B5" i="1"/>
  <c r="B3" i="1"/>
</calcChain>
</file>

<file path=xl/sharedStrings.xml><?xml version="1.0" encoding="utf-8"?>
<sst xmlns="http://schemas.openxmlformats.org/spreadsheetml/2006/main" count="491" uniqueCount="107">
  <si>
    <t>EmployeeID</t>
  </si>
  <si>
    <t>Name</t>
  </si>
  <si>
    <t>Department</t>
  </si>
  <si>
    <t>Position</t>
  </si>
  <si>
    <t>Salary</t>
  </si>
  <si>
    <t>City</t>
  </si>
  <si>
    <t>JoiningDate</t>
  </si>
  <si>
    <t>alice</t>
  </si>
  <si>
    <t>Finance</t>
  </si>
  <si>
    <t>Executive</t>
  </si>
  <si>
    <t>Phoenix</t>
  </si>
  <si>
    <t>Assistant</t>
  </si>
  <si>
    <t>Clerk</t>
  </si>
  <si>
    <t>Chicago</t>
  </si>
  <si>
    <t>Sales</t>
  </si>
  <si>
    <t>Analyst</t>
  </si>
  <si>
    <t>Houston</t>
  </si>
  <si>
    <t>jack</t>
  </si>
  <si>
    <t>IT</t>
  </si>
  <si>
    <t>bob</t>
  </si>
  <si>
    <t>Marketing</t>
  </si>
  <si>
    <t>david</t>
  </si>
  <si>
    <t>Los Angeles</t>
  </si>
  <si>
    <t>frank</t>
  </si>
  <si>
    <t>HR</t>
  </si>
  <si>
    <t>hannah</t>
  </si>
  <si>
    <t>charlie</t>
  </si>
  <si>
    <t>Manager</t>
  </si>
  <si>
    <t>grace</t>
  </si>
  <si>
    <t>New York</t>
  </si>
  <si>
    <t>ivy</t>
  </si>
  <si>
    <t>Ali</t>
  </si>
  <si>
    <t>Shafeeq</t>
  </si>
  <si>
    <t>Ahmad</t>
  </si>
  <si>
    <t>Farooq</t>
  </si>
  <si>
    <t>Abid</t>
  </si>
  <si>
    <t>Asad</t>
  </si>
  <si>
    <t>Baig</t>
  </si>
  <si>
    <t>Anwar</t>
  </si>
  <si>
    <t>Shoaib</t>
  </si>
  <si>
    <t>Asghar</t>
  </si>
  <si>
    <t>Mehak</t>
  </si>
  <si>
    <t>Tariq</t>
  </si>
  <si>
    <t>Talha</t>
  </si>
  <si>
    <t>Shahzad</t>
  </si>
  <si>
    <t>Taha</t>
  </si>
  <si>
    <t>Zaheer</t>
  </si>
  <si>
    <t>Irfan</t>
  </si>
  <si>
    <t>Zeeshan</t>
  </si>
  <si>
    <t>Mirza</t>
  </si>
  <si>
    <t>Adeel</t>
  </si>
  <si>
    <t>Abubakar</t>
  </si>
  <si>
    <t>Nadeem</t>
  </si>
  <si>
    <t>Zain</t>
  </si>
  <si>
    <t>Waseem</t>
  </si>
  <si>
    <t>Tahir</t>
  </si>
  <si>
    <t>Waleed</t>
  </si>
  <si>
    <t>Muneeb</t>
  </si>
  <si>
    <t>Haider</t>
  </si>
  <si>
    <t>First_Name</t>
  </si>
  <si>
    <t>Last_Name</t>
  </si>
  <si>
    <t>AhmeD</t>
  </si>
  <si>
    <t>RAZA</t>
  </si>
  <si>
    <t>faiz</t>
  </si>
  <si>
    <t>MeHTab</t>
  </si>
  <si>
    <t>YOUNS</t>
  </si>
  <si>
    <t>SALIQ</t>
  </si>
  <si>
    <t>ANAS</t>
  </si>
  <si>
    <t>irfan</t>
  </si>
  <si>
    <t>EmployeeID,Name,Department,Position,Salary,City,JoiningDate</t>
  </si>
  <si>
    <t>101,Ali,Finance,Analyst,75000,Lahore,22-08-2022</t>
  </si>
  <si>
    <t>102,Ahmed,Finance,Assistant,65000,Lahore,22-08-2022</t>
  </si>
  <si>
    <t>103,Raza,IT,Assistant,60000,Lahore,23-10-2023</t>
  </si>
  <si>
    <t>104,Ali,Finance,Analyst,75000,Lahore,22-08-2022</t>
  </si>
  <si>
    <t>105,Ahmed,Finance,Assistant,65000,Lahore,22-08-2022</t>
  </si>
  <si>
    <t>106,Raza,IT,Assistant,60000,Lahore,23-10-2023</t>
  </si>
  <si>
    <t>107,Ali,Finance,Analyst,75000,Lahore,22-08-2022</t>
  </si>
  <si>
    <t>108,Ahmed,Finance,Assistant,65000,Lahore,22-08-2022</t>
  </si>
  <si>
    <t>109,Raza,IT,Assistant,60000,Lahore,23-10-2023</t>
  </si>
  <si>
    <t>City-Pincode</t>
  </si>
  <si>
    <t>Rawalpindi-08976</t>
  </si>
  <si>
    <t>VLOOKUP VALUE</t>
  </si>
  <si>
    <t>With MATCH</t>
  </si>
  <si>
    <t>Pincode</t>
  </si>
  <si>
    <t>Lahore-0923567</t>
  </si>
  <si>
    <t>Date</t>
  </si>
  <si>
    <t>Month</t>
  </si>
  <si>
    <t>Year</t>
  </si>
  <si>
    <t>Month_Name</t>
  </si>
  <si>
    <t>Short_Month</t>
  </si>
  <si>
    <t>Short_Days</t>
  </si>
  <si>
    <t>Days_of_Week</t>
  </si>
  <si>
    <t>Lahore</t>
  </si>
  <si>
    <t>22-08-2022</t>
  </si>
  <si>
    <t>Ahmed</t>
  </si>
  <si>
    <t>Raza</t>
  </si>
  <si>
    <t>23-10-2023</t>
  </si>
  <si>
    <t>Faisalabad-0887312</t>
  </si>
  <si>
    <t>Karachi-0938745</t>
  </si>
  <si>
    <t>Multan-0768845</t>
  </si>
  <si>
    <t>Rohri-076675</t>
  </si>
  <si>
    <t>Sangla Hill-0985244</t>
  </si>
  <si>
    <t>SUMIF</t>
  </si>
  <si>
    <t>COUNTIF</t>
  </si>
  <si>
    <t>Row Labels</t>
  </si>
  <si>
    <t>Grand Total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</si>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</sst>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>
      <alignment horizontal="center" vertical="top"/>
    </xf>
    <xf numFmtId="164" fontId="1" fillId="0" borderId="0" xfId="0" applyNumberFormat="1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applyBorder="1"/>
    <xf numFmtId="164" fontId="0" fillId="0" borderId="0" xfId="0" applyNumberFormat="1" applyBorder="1"/>
    <xf numFmtId="14" fontId="0" fillId="0" borderId="0" xfId="0" applyNumberFormat="1"/>
    <xf numFmtId="0" fontId="0" fillId="0" borderId="0" xfId="0" applyFill="1" applyBorder="1"/>
    <xf numFmtId="14" fontId="1" fillId="0" borderId="0" xfId="0" applyNumberFormat="1" applyFont="1" applyBorder="1" applyAlignment="1">
      <alignment horizontal="center" vertical="top"/>
    </xf>
    <xf numFmtId="14" fontId="0" fillId="0" borderId="0" xfId="0" applyNumberFormat="1" applyBorder="1"/>
    <xf numFmtId="0" fontId="5" fillId="2" borderId="0" xfId="0" applyFont="1" applyFill="1" applyBorder="1"/>
    <xf numFmtId="164" fontId="5" fillId="2" borderId="0" xfId="0" applyNumberFormat="1" applyFont="1" applyFill="1" applyBorder="1"/>
    <xf numFmtId="14" fontId="5" fillId="2" borderId="0" xfId="0" applyNumberFormat="1" applyFont="1" applyFill="1" applyBorder="1"/>
    <xf numFmtId="0" fontId="6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5">
    <dxf>
      <fill>
        <patternFill>
          <bgColor rgb="FF00B05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m/d/yyyy"/>
    </dxf>
    <dxf>
      <numFmt numFmtId="164" formatCode="dd\-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Sheet1!$A$4:$A$7</c:f>
              <c:strCache>
                <c:ptCount val="3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53416</c:v>
                </c:pt>
                <c:pt idx="1">
                  <c:v>288291</c:v>
                </c:pt>
                <c:pt idx="2">
                  <c:v>90217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2-4D9D-9014-5033B7139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5395400"/>
        <c:axId val="455399008"/>
        <c:axId val="0"/>
      </c:bar3DChart>
      <c:catAx>
        <c:axId val="455395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99008"/>
        <c:crosses val="autoZero"/>
        <c:auto val="1"/>
        <c:lblAlgn val="ctr"/>
        <c:lblOffset val="100"/>
        <c:noMultiLvlLbl val="0"/>
      </c:catAx>
      <c:valAx>
        <c:axId val="45539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95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1</xdr:row>
      <xdr:rowOff>174625</xdr:rowOff>
    </xdr:from>
    <xdr:to>
      <xdr:col>11</xdr:col>
      <xdr:colOff>428625</xdr:colOff>
      <xdr:row>16</xdr:row>
      <xdr:rowOff>155575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MG" refreshedDate="45959.989314467595" createdVersion="6" refreshedVersion="6" minRefreshableVersion="3" recordCount="21">
  <cacheSource type="worksheet">
    <worksheetSource ref="A1:G22" sheet="VLookup_Value"/>
  </cacheSource>
  <cacheFields count="7">
    <cacheField name="EmployeeID" numFmtId="0">
      <sharedItems containsSemiMixedTypes="0" containsString="0" containsNumber="1" containsInteger="1" minValue="1" maxValue="21"/>
    </cacheField>
    <cacheField name="Name" numFmtId="0">
      <sharedItems/>
    </cacheField>
    <cacheField name="Department" numFmtId="0">
      <sharedItems count="5">
        <s v="Finance"/>
        <s v="Sales"/>
        <s v="IT"/>
        <s v="Marketing"/>
        <s v="HR"/>
      </sharedItems>
    </cacheField>
    <cacheField name="Position" numFmtId="0">
      <sharedItems count="5">
        <s v="Executive"/>
        <s v="Assistant"/>
        <s v="Clerk"/>
        <s v="Analyst"/>
        <s v="Manager"/>
      </sharedItems>
    </cacheField>
    <cacheField name="Salary" numFmtId="0">
      <sharedItems containsSemiMixedTypes="0" containsString="0" containsNumber="1" containsInteger="1" minValue="39116" maxValue="113886"/>
    </cacheField>
    <cacheField name="City" numFmtId="0">
      <sharedItems/>
    </cacheField>
    <cacheField name="JoiningDate" numFmtId="14">
      <sharedItems containsSemiMixedTypes="0" containsNonDate="0" containsDate="1" containsString="0" minDate="2012-07-13T00:00:00" maxDate="2025-04-2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n v="1"/>
    <s v="alice"/>
    <x v="0"/>
    <x v="0"/>
    <n v="43434"/>
    <s v="Phoenix"/>
    <d v="2012-10-14T00:00:00"/>
  </r>
  <r>
    <n v="2"/>
    <s v="alice"/>
    <x v="0"/>
    <x v="1"/>
    <n v="103563"/>
    <s v="Phoenix"/>
    <d v="2023-04-15T00:00:00"/>
  </r>
  <r>
    <n v="3"/>
    <s v="alice"/>
    <x v="0"/>
    <x v="2"/>
    <n v="50379"/>
    <s v="Chicago"/>
    <d v="2013-02-13T00:00:00"/>
  </r>
  <r>
    <n v="4"/>
    <s v="alice"/>
    <x v="1"/>
    <x v="3"/>
    <n v="90217"/>
    <s v="Houston"/>
    <d v="2012-09-10T00:00:00"/>
  </r>
  <r>
    <n v="5"/>
    <s v="jack"/>
    <x v="2"/>
    <x v="1"/>
    <n v="39116"/>
    <s v="Houston"/>
    <d v="2017-05-03T00:00:00"/>
  </r>
  <r>
    <n v="6"/>
    <s v="bob"/>
    <x v="3"/>
    <x v="3"/>
    <n v="76566"/>
    <s v="Chicago"/>
    <d v="2012-10-21T00:00:00"/>
  </r>
  <r>
    <n v="7"/>
    <s v="david"/>
    <x v="3"/>
    <x v="3"/>
    <n v="113886"/>
    <s v="Los Angeles"/>
    <d v="2020-01-08T00:00:00"/>
  </r>
  <r>
    <n v="8"/>
    <s v="frank"/>
    <x v="4"/>
    <x v="0"/>
    <n v="104341"/>
    <s v="Chicago"/>
    <d v="2016-11-16T00:00:00"/>
  </r>
  <r>
    <n v="9"/>
    <s v="hannah"/>
    <x v="0"/>
    <x v="0"/>
    <n v="100644"/>
    <s v="Phoenix"/>
    <d v="2023-10-13T00:00:00"/>
  </r>
  <r>
    <n v="10"/>
    <s v="charlie"/>
    <x v="4"/>
    <x v="4"/>
    <n v="50033"/>
    <s v="Houston"/>
    <d v="2012-07-13T00:00:00"/>
  </r>
  <r>
    <n v="11"/>
    <s v="hannah"/>
    <x v="1"/>
    <x v="4"/>
    <n v="45014"/>
    <s v="Phoenix"/>
    <d v="2018-11-11T00:00:00"/>
  </r>
  <r>
    <n v="12"/>
    <s v="grace"/>
    <x v="4"/>
    <x v="3"/>
    <n v="53416"/>
    <s v="New York"/>
    <d v="2019-11-17T00:00:00"/>
  </r>
  <r>
    <n v="13"/>
    <s v="charlie"/>
    <x v="0"/>
    <x v="1"/>
    <n v="99514"/>
    <s v="Phoenix"/>
    <d v="2020-08-01T00:00:00"/>
  </r>
  <r>
    <n v="14"/>
    <s v="frank"/>
    <x v="2"/>
    <x v="0"/>
    <n v="104364"/>
    <s v="New York"/>
    <d v="2025-02-25T00:00:00"/>
  </r>
  <r>
    <n v="15"/>
    <s v="charlie"/>
    <x v="3"/>
    <x v="1"/>
    <n v="99163"/>
    <s v="Houston"/>
    <d v="2016-09-25T00:00:00"/>
  </r>
  <r>
    <n v="16"/>
    <s v="david"/>
    <x v="3"/>
    <x v="3"/>
    <n v="97839"/>
    <s v="Los Angeles"/>
    <d v="2017-02-11T00:00:00"/>
  </r>
  <r>
    <n v="17"/>
    <s v="david"/>
    <x v="1"/>
    <x v="0"/>
    <n v="97839"/>
    <s v="New York"/>
    <d v="2017-02-02T00:00:00"/>
  </r>
  <r>
    <n v="18"/>
    <s v="bob"/>
    <x v="2"/>
    <x v="2"/>
    <n v="47342"/>
    <s v="Phoenix"/>
    <d v="2025-04-26T00:00:00"/>
  </r>
  <r>
    <n v="19"/>
    <s v="grace"/>
    <x v="4"/>
    <x v="2"/>
    <n v="83883"/>
    <s v="New York"/>
    <d v="2013-01-13T00:00:00"/>
  </r>
  <r>
    <n v="20"/>
    <s v="bob"/>
    <x v="0"/>
    <x v="1"/>
    <n v="85296"/>
    <s v="Houston"/>
    <d v="2017-02-15T00:00:00"/>
  </r>
  <r>
    <n v="21"/>
    <s v="ivy"/>
    <x v="1"/>
    <x v="4"/>
    <n v="60982"/>
    <s v="Houston"/>
    <d v="2025-04-2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 rowPageCount="1" colPageCount="1"/>
  <pivotFields count="7">
    <pivotField showAll="0"/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axis="axisPage" showAll="0">
      <items count="6">
        <item x="3"/>
        <item x="1"/>
        <item x="2"/>
        <item x="0"/>
        <item x="4"/>
        <item t="default"/>
      </items>
    </pivotField>
    <pivotField dataField="1" showAll="0"/>
    <pivotField showAll="0"/>
    <pivotField numFmtId="14" showAll="0"/>
  </pivotFields>
  <rowFields count="1">
    <field x="2"/>
  </rowFields>
  <rowItems count="4">
    <i>
      <x v="1"/>
    </i>
    <i>
      <x v="3"/>
    </i>
    <i>
      <x v="4"/>
    </i>
    <i t="grand">
      <x/>
    </i>
  </rowItems>
  <colItems count="1">
    <i/>
  </colItems>
  <pageFields count="1">
    <pageField fld="3" item="0" hier="-1"/>
  </pageFields>
  <dataFields count="1">
    <dataField name="Sum of Salary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E2:K11" totalsRowShown="0" headerRowDxfId="14">
  <autoFilter ref="E2:K11">
    <filterColumn colId="2">
      <filters>
        <filter val="Finance"/>
      </filters>
    </filterColumn>
    <filterColumn colId="3">
      <filters>
        <filter val="Analyst"/>
      </filters>
    </filterColumn>
  </autoFilter>
  <tableColumns count="7">
    <tableColumn id="1" name="EmployeeID"/>
    <tableColumn id="2" name="Name"/>
    <tableColumn id="3" name="Department"/>
    <tableColumn id="4" name="Position" dataDxfId="13"/>
    <tableColumn id="5" name="Salary"/>
    <tableColumn id="6" name="City"/>
    <tableColumn id="7" name="JoiningDate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1" workbookViewId="0">
      <selection activeCell="I2" sqref="I2"/>
    </sheetView>
  </sheetViews>
  <sheetFormatPr defaultRowHeight="14.5" x14ac:dyDescent="0.35"/>
  <cols>
    <col min="1" max="1" width="10.81640625" bestFit="1" customWidth="1"/>
    <col min="2" max="2" width="7.1796875" bestFit="1" customWidth="1"/>
    <col min="3" max="3" width="11.08984375" bestFit="1" customWidth="1"/>
    <col min="4" max="4" width="8.6328125" bestFit="1" customWidth="1"/>
    <col min="5" max="5" width="7.81640625" bestFit="1" customWidth="1"/>
    <col min="6" max="6" width="10.453125" bestFit="1" customWidth="1"/>
    <col min="7" max="7" width="10.54296875" style="6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</row>
    <row r="2" spans="1:9" x14ac:dyDescent="0.35">
      <c r="A2" s="4">
        <v>1</v>
      </c>
      <c r="B2" s="4" t="s">
        <v>7</v>
      </c>
      <c r="C2" s="4" t="s">
        <v>8</v>
      </c>
      <c r="D2" s="4" t="s">
        <v>9</v>
      </c>
      <c r="E2" s="4">
        <v>43434</v>
      </c>
      <c r="F2" s="4" t="s">
        <v>10</v>
      </c>
      <c r="G2" s="9">
        <v>41196</v>
      </c>
      <c r="I2" t="s">
        <v>24</v>
      </c>
    </row>
    <row r="3" spans="1:9" x14ac:dyDescent="0.35">
      <c r="A3" s="4">
        <v>2</v>
      </c>
      <c r="B3" s="4" t="str">
        <f>B2</f>
        <v>alice</v>
      </c>
      <c r="C3" s="4" t="s">
        <v>8</v>
      </c>
      <c r="D3" s="4" t="s">
        <v>11</v>
      </c>
      <c r="E3" s="4">
        <v>103563</v>
      </c>
      <c r="F3" s="4" t="s">
        <v>10</v>
      </c>
      <c r="G3" s="9">
        <v>45031</v>
      </c>
    </row>
    <row r="4" spans="1:9" x14ac:dyDescent="0.35">
      <c r="A4" s="4">
        <v>3</v>
      </c>
      <c r="B4" s="4" t="s">
        <v>7</v>
      </c>
      <c r="C4" s="4" t="s">
        <v>8</v>
      </c>
      <c r="D4" s="4" t="s">
        <v>12</v>
      </c>
      <c r="E4" s="4">
        <v>50379</v>
      </c>
      <c r="F4" s="4" t="s">
        <v>13</v>
      </c>
      <c r="G4" s="9">
        <v>41318</v>
      </c>
    </row>
    <row r="5" spans="1:9" x14ac:dyDescent="0.35">
      <c r="A5" s="4">
        <v>4</v>
      </c>
      <c r="B5" s="4" t="str">
        <f>B4</f>
        <v>alice</v>
      </c>
      <c r="C5" s="4" t="s">
        <v>14</v>
      </c>
      <c r="D5" s="4" t="s">
        <v>15</v>
      </c>
      <c r="E5" s="4">
        <v>90217</v>
      </c>
      <c r="F5" s="4" t="s">
        <v>16</v>
      </c>
      <c r="G5" s="9">
        <v>41162</v>
      </c>
    </row>
    <row r="6" spans="1:9" x14ac:dyDescent="0.35">
      <c r="A6" s="4">
        <v>5</v>
      </c>
      <c r="B6" s="4" t="s">
        <v>17</v>
      </c>
      <c r="C6" s="4" t="s">
        <v>18</v>
      </c>
      <c r="D6" s="4" t="s">
        <v>11</v>
      </c>
      <c r="E6" s="4">
        <v>39116</v>
      </c>
      <c r="F6" s="4" t="str">
        <f>F5</f>
        <v>Houston</v>
      </c>
      <c r="G6" s="9">
        <v>42858</v>
      </c>
    </row>
    <row r="7" spans="1:9" x14ac:dyDescent="0.35">
      <c r="A7" s="4">
        <v>6</v>
      </c>
      <c r="B7" s="4" t="s">
        <v>19</v>
      </c>
      <c r="C7" s="4" t="s">
        <v>20</v>
      </c>
      <c r="D7" s="4" t="s">
        <v>15</v>
      </c>
      <c r="E7" s="4">
        <v>76566</v>
      </c>
      <c r="F7" s="4" t="s">
        <v>13</v>
      </c>
      <c r="G7" s="9">
        <v>41203</v>
      </c>
    </row>
    <row r="8" spans="1:9" x14ac:dyDescent="0.35">
      <c r="A8" s="4">
        <v>7</v>
      </c>
      <c r="B8" s="4" t="s">
        <v>21</v>
      </c>
      <c r="C8" s="4" t="s">
        <v>20</v>
      </c>
      <c r="D8" s="4" t="s">
        <v>15</v>
      </c>
      <c r="E8" s="4">
        <v>113886</v>
      </c>
      <c r="F8" s="4" t="s">
        <v>22</v>
      </c>
      <c r="G8" s="9">
        <v>43838</v>
      </c>
    </row>
    <row r="9" spans="1:9" x14ac:dyDescent="0.35">
      <c r="A9" s="4">
        <v>8</v>
      </c>
      <c r="B9" s="4" t="s">
        <v>23</v>
      </c>
      <c r="C9" s="4" t="s">
        <v>24</v>
      </c>
      <c r="D9" s="4" t="s">
        <v>9</v>
      </c>
      <c r="E9" s="4">
        <v>104341</v>
      </c>
      <c r="F9" s="4" t="s">
        <v>13</v>
      </c>
      <c r="G9" s="9">
        <v>42690</v>
      </c>
    </row>
    <row r="10" spans="1:9" x14ac:dyDescent="0.35">
      <c r="A10" s="4">
        <v>9</v>
      </c>
      <c r="B10" s="4" t="s">
        <v>25</v>
      </c>
      <c r="C10" s="4" t="s">
        <v>8</v>
      </c>
      <c r="D10" s="4" t="s">
        <v>9</v>
      </c>
      <c r="E10" s="4">
        <v>100644</v>
      </c>
      <c r="F10" s="4" t="s">
        <v>10</v>
      </c>
      <c r="G10" s="9">
        <v>45212</v>
      </c>
    </row>
    <row r="11" spans="1:9" x14ac:dyDescent="0.35">
      <c r="A11" s="4">
        <v>10</v>
      </c>
      <c r="B11" s="4" t="s">
        <v>26</v>
      </c>
      <c r="C11" s="4" t="s">
        <v>24</v>
      </c>
      <c r="D11" s="4" t="s">
        <v>27</v>
      </c>
      <c r="E11" s="4">
        <v>50033</v>
      </c>
      <c r="F11" s="4" t="s">
        <v>16</v>
      </c>
      <c r="G11" s="9">
        <v>41103</v>
      </c>
    </row>
    <row r="12" spans="1:9" x14ac:dyDescent="0.35">
      <c r="A12" s="4">
        <v>11</v>
      </c>
      <c r="B12" s="4" t="s">
        <v>25</v>
      </c>
      <c r="C12" s="4" t="s">
        <v>14</v>
      </c>
      <c r="D12" s="4" t="s">
        <v>27</v>
      </c>
      <c r="E12" s="4">
        <v>45014</v>
      </c>
      <c r="F12" s="4" t="s">
        <v>10</v>
      </c>
      <c r="G12" s="9">
        <v>43415</v>
      </c>
    </row>
    <row r="13" spans="1:9" x14ac:dyDescent="0.35">
      <c r="A13" s="4">
        <v>12</v>
      </c>
      <c r="B13" s="4" t="s">
        <v>28</v>
      </c>
      <c r="C13" s="4" t="s">
        <v>24</v>
      </c>
      <c r="D13" s="4" t="s">
        <v>15</v>
      </c>
      <c r="E13" s="4">
        <v>53416</v>
      </c>
      <c r="F13" s="4" t="s">
        <v>29</v>
      </c>
      <c r="G13" s="9">
        <v>43786</v>
      </c>
    </row>
    <row r="14" spans="1:9" x14ac:dyDescent="0.35">
      <c r="A14" s="4">
        <v>13</v>
      </c>
      <c r="B14" s="4" t="s">
        <v>26</v>
      </c>
      <c r="C14" s="4" t="s">
        <v>8</v>
      </c>
      <c r="D14" s="4" t="s">
        <v>11</v>
      </c>
      <c r="E14" s="4">
        <v>99514</v>
      </c>
      <c r="F14" s="4" t="s">
        <v>10</v>
      </c>
      <c r="G14" s="9">
        <v>44044</v>
      </c>
    </row>
    <row r="15" spans="1:9" x14ac:dyDescent="0.35">
      <c r="A15" s="4">
        <v>14</v>
      </c>
      <c r="B15" s="4" t="s">
        <v>23</v>
      </c>
      <c r="C15" s="4" t="s">
        <v>18</v>
      </c>
      <c r="D15" s="4" t="s">
        <v>9</v>
      </c>
      <c r="E15" s="4">
        <v>104364</v>
      </c>
      <c r="F15" s="4" t="s">
        <v>29</v>
      </c>
      <c r="G15" s="9">
        <v>45713</v>
      </c>
    </row>
    <row r="16" spans="1:9" x14ac:dyDescent="0.35">
      <c r="A16" s="4">
        <v>15</v>
      </c>
      <c r="B16" s="4" t="s">
        <v>26</v>
      </c>
      <c r="C16" s="4" t="s">
        <v>20</v>
      </c>
      <c r="D16" s="4" t="s">
        <v>11</v>
      </c>
      <c r="E16" s="4">
        <v>99163</v>
      </c>
      <c r="F16" s="4" t="s">
        <v>16</v>
      </c>
      <c r="G16" s="9">
        <v>42638</v>
      </c>
    </row>
    <row r="17" spans="1:7" x14ac:dyDescent="0.35">
      <c r="A17" s="4">
        <v>16</v>
      </c>
      <c r="B17" s="4" t="s">
        <v>21</v>
      </c>
      <c r="C17" s="4" t="s">
        <v>20</v>
      </c>
      <c r="D17" s="4" t="s">
        <v>15</v>
      </c>
      <c r="E17" s="4">
        <v>97839</v>
      </c>
      <c r="F17" s="4" t="s">
        <v>22</v>
      </c>
      <c r="G17" s="9">
        <v>42777</v>
      </c>
    </row>
    <row r="18" spans="1:7" x14ac:dyDescent="0.35">
      <c r="A18" s="4">
        <v>17</v>
      </c>
      <c r="B18" s="4" t="str">
        <f>B17</f>
        <v>david</v>
      </c>
      <c r="C18" s="4" t="s">
        <v>14</v>
      </c>
      <c r="D18" s="4" t="s">
        <v>9</v>
      </c>
      <c r="E18" s="4">
        <f>E17</f>
        <v>97839</v>
      </c>
      <c r="F18" s="4" t="s">
        <v>29</v>
      </c>
      <c r="G18" s="9">
        <v>42768</v>
      </c>
    </row>
    <row r="19" spans="1:7" x14ac:dyDescent="0.35">
      <c r="A19" s="4">
        <v>18</v>
      </c>
      <c r="B19" s="4" t="s">
        <v>19</v>
      </c>
      <c r="C19" s="4" t="s">
        <v>18</v>
      </c>
      <c r="D19" s="4" t="s">
        <v>12</v>
      </c>
      <c r="E19" s="4">
        <v>47342</v>
      </c>
      <c r="F19" s="4" t="s">
        <v>10</v>
      </c>
      <c r="G19" s="9">
        <v>45773</v>
      </c>
    </row>
    <row r="20" spans="1:7" x14ac:dyDescent="0.35">
      <c r="A20" s="4">
        <v>19</v>
      </c>
      <c r="B20" s="4" t="s">
        <v>28</v>
      </c>
      <c r="C20" s="4" t="s">
        <v>24</v>
      </c>
      <c r="D20" s="4" t="s">
        <v>12</v>
      </c>
      <c r="E20" s="4">
        <v>83883</v>
      </c>
      <c r="F20" s="4" t="s">
        <v>29</v>
      </c>
      <c r="G20" s="9">
        <v>41287</v>
      </c>
    </row>
    <row r="21" spans="1:7" x14ac:dyDescent="0.35">
      <c r="A21" s="4">
        <v>20</v>
      </c>
      <c r="B21" s="4" t="s">
        <v>19</v>
      </c>
      <c r="C21" s="4" t="s">
        <v>8</v>
      </c>
      <c r="D21" s="4" t="s">
        <v>11</v>
      </c>
      <c r="E21" s="4">
        <v>85296</v>
      </c>
      <c r="F21" s="4" t="s">
        <v>16</v>
      </c>
      <c r="G21" s="9">
        <v>42781</v>
      </c>
    </row>
    <row r="22" spans="1:7" x14ac:dyDescent="0.35">
      <c r="A22" s="4">
        <v>21</v>
      </c>
      <c r="B22" s="4" t="s">
        <v>30</v>
      </c>
      <c r="C22" s="4" t="s">
        <v>14</v>
      </c>
      <c r="D22" s="4" t="s">
        <v>27</v>
      </c>
      <c r="E22" s="4">
        <v>60982</v>
      </c>
      <c r="F22" s="4" t="s">
        <v>16</v>
      </c>
      <c r="G22" s="9">
        <v>45775</v>
      </c>
    </row>
    <row r="23" spans="1:7" x14ac:dyDescent="0.35">
      <c r="E23">
        <f>SUM(E2:E22)</f>
        <v>1646831</v>
      </c>
    </row>
    <row r="1048576" spans="5:5" x14ac:dyDescent="0.35">
      <c r="E1048576">
        <f>SUM(E2:E1048575)</f>
        <v>3293662</v>
      </c>
    </row>
  </sheetData>
  <conditionalFormatting sqref="A2:G22">
    <cfRule type="expression" dxfId="0" priority="1">
      <formula>$C2=$I$2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1"/>
  <sheetViews>
    <sheetView workbookViewId="0">
      <selection activeCell="F2" sqref="F2"/>
    </sheetView>
  </sheetViews>
  <sheetFormatPr defaultRowHeight="14.5" x14ac:dyDescent="0.35"/>
  <sheetData>
    <row r="1" spans="2:3" x14ac:dyDescent="0.35">
      <c r="B1" t="s">
        <v>59</v>
      </c>
      <c r="C1" t="s">
        <v>60</v>
      </c>
    </row>
    <row r="2" spans="2:3" x14ac:dyDescent="0.35">
      <c r="B2" s="4" t="s">
        <v>31</v>
      </c>
      <c r="C2" s="4" t="s">
        <v>62</v>
      </c>
    </row>
    <row r="3" spans="2:3" x14ac:dyDescent="0.35">
      <c r="B3" s="4" t="s">
        <v>61</v>
      </c>
      <c r="C3" s="4" t="s">
        <v>32</v>
      </c>
    </row>
    <row r="4" spans="2:3" x14ac:dyDescent="0.35">
      <c r="B4" s="4" t="s">
        <v>63</v>
      </c>
      <c r="C4" s="4" t="s">
        <v>33</v>
      </c>
    </row>
    <row r="5" spans="2:3" x14ac:dyDescent="0.35">
      <c r="B5" s="4" t="s">
        <v>34</v>
      </c>
      <c r="C5" s="4" t="s">
        <v>35</v>
      </c>
    </row>
    <row r="6" spans="2:3" x14ac:dyDescent="0.35">
      <c r="B6" s="4" t="s">
        <v>36</v>
      </c>
      <c r="C6" s="4" t="s">
        <v>37</v>
      </c>
    </row>
    <row r="7" spans="2:3" x14ac:dyDescent="0.35">
      <c r="B7" s="4" t="s">
        <v>64</v>
      </c>
      <c r="C7" s="4" t="s">
        <v>38</v>
      </c>
    </row>
    <row r="8" spans="2:3" x14ac:dyDescent="0.35">
      <c r="B8" s="4" t="s">
        <v>39</v>
      </c>
      <c r="C8" s="4" t="s">
        <v>40</v>
      </c>
    </row>
    <row r="9" spans="2:3" x14ac:dyDescent="0.35">
      <c r="B9" s="4" t="s">
        <v>41</v>
      </c>
      <c r="C9" s="4" t="s">
        <v>65</v>
      </c>
    </row>
    <row r="10" spans="2:3" x14ac:dyDescent="0.35">
      <c r="B10" s="4" t="s">
        <v>66</v>
      </c>
      <c r="C10" s="4" t="s">
        <v>42</v>
      </c>
    </row>
    <row r="11" spans="2:3" x14ac:dyDescent="0.35">
      <c r="B11" s="4" t="s">
        <v>43</v>
      </c>
      <c r="C11" s="4" t="s">
        <v>44</v>
      </c>
    </row>
    <row r="12" spans="2:3" x14ac:dyDescent="0.35">
      <c r="B12" s="4" t="s">
        <v>45</v>
      </c>
      <c r="C12" s="4" t="s">
        <v>46</v>
      </c>
    </row>
    <row r="13" spans="2:3" x14ac:dyDescent="0.35">
      <c r="B13" s="4" t="s">
        <v>67</v>
      </c>
      <c r="C13" s="4" t="s">
        <v>68</v>
      </c>
    </row>
    <row r="14" spans="2:3" x14ac:dyDescent="0.35">
      <c r="B14" s="4" t="s">
        <v>47</v>
      </c>
      <c r="C14" s="4" t="s">
        <v>31</v>
      </c>
    </row>
    <row r="15" spans="2:3" x14ac:dyDescent="0.35">
      <c r="B15" s="4" t="s">
        <v>48</v>
      </c>
      <c r="C15" s="4" t="s">
        <v>49</v>
      </c>
    </row>
    <row r="16" spans="2:3" x14ac:dyDescent="0.35">
      <c r="B16" s="4" t="s">
        <v>50</v>
      </c>
      <c r="C16" s="4" t="s">
        <v>33</v>
      </c>
    </row>
    <row r="17" spans="2:3" x14ac:dyDescent="0.35">
      <c r="B17" s="4" t="s">
        <v>51</v>
      </c>
      <c r="C17" s="4" t="s">
        <v>52</v>
      </c>
    </row>
    <row r="18" spans="2:3" x14ac:dyDescent="0.35">
      <c r="B18" s="4" t="s">
        <v>53</v>
      </c>
      <c r="C18" s="4" t="s">
        <v>54</v>
      </c>
    </row>
    <row r="19" spans="2:3" x14ac:dyDescent="0.35">
      <c r="B19" s="4" t="s">
        <v>31</v>
      </c>
      <c r="C19" s="4" t="s">
        <v>55</v>
      </c>
    </row>
    <row r="20" spans="2:3" x14ac:dyDescent="0.35">
      <c r="B20" s="4" t="s">
        <v>56</v>
      </c>
      <c r="C20" s="4" t="s">
        <v>55</v>
      </c>
    </row>
    <row r="21" spans="2:3" x14ac:dyDescent="0.35">
      <c r="B21" s="4" t="s">
        <v>57</v>
      </c>
      <c r="C21" s="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J24" sqref="J24"/>
    </sheetView>
  </sheetViews>
  <sheetFormatPr defaultRowHeight="14.5" x14ac:dyDescent="0.35"/>
  <cols>
    <col min="1" max="1" width="10.81640625" bestFit="1" customWidth="1"/>
    <col min="2" max="2" width="7.1796875" customWidth="1"/>
    <col min="3" max="3" width="11.08984375" bestFit="1" customWidth="1"/>
    <col min="4" max="4" width="8.6328125" customWidth="1"/>
    <col min="5" max="5" width="6.81640625" customWidth="1"/>
    <col min="6" max="6" width="10.453125" bestFit="1" customWidth="1"/>
    <col min="7" max="7" width="10.54296875" style="6" bestFit="1" customWidth="1"/>
    <col min="11" max="11" width="12.453125" bestFit="1" customWidth="1"/>
    <col min="12" max="12" width="12.08984375" bestFit="1" customWidth="1"/>
    <col min="13" max="13" width="13.453125" bestFit="1" customWidth="1"/>
    <col min="14" max="14" width="10.3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89</v>
      </c>
      <c r="M1" s="3" t="s">
        <v>91</v>
      </c>
      <c r="N1" s="3" t="s">
        <v>90</v>
      </c>
    </row>
    <row r="2" spans="1:14" x14ac:dyDescent="0.35">
      <c r="A2" s="4">
        <v>1</v>
      </c>
      <c r="B2" s="4" t="s">
        <v>7</v>
      </c>
      <c r="C2" s="4" t="s">
        <v>8</v>
      </c>
      <c r="D2" s="4" t="s">
        <v>9</v>
      </c>
      <c r="E2" s="4">
        <v>43434</v>
      </c>
      <c r="F2" s="4" t="s">
        <v>10</v>
      </c>
      <c r="G2" s="9">
        <v>41196</v>
      </c>
      <c r="H2" s="7" t="str">
        <f>TEXT(G2,"dd")</f>
        <v>14</v>
      </c>
      <c r="I2" t="str">
        <f>TEXT(G2,"mm")</f>
        <v>10</v>
      </c>
      <c r="J2" t="str">
        <f>TEXT(G2,"yyyy")</f>
        <v>2012</v>
      </c>
      <c r="K2" t="str">
        <f>TEXT(G2,"mmmm")</f>
        <v>October</v>
      </c>
      <c r="L2" t="str">
        <f>TEXT(G2,"mmm")</f>
        <v>Oct</v>
      </c>
      <c r="M2" t="str">
        <f>TEXT(G2,"dddd")</f>
        <v>Sunday</v>
      </c>
      <c r="N2" t="str">
        <f>TEXT(G2,"ddd")</f>
        <v>Sun</v>
      </c>
    </row>
    <row r="3" spans="1:14" x14ac:dyDescent="0.35">
      <c r="A3" s="4">
        <v>2</v>
      </c>
      <c r="B3" s="4" t="str">
        <f>B2</f>
        <v>alice</v>
      </c>
      <c r="C3" s="4" t="s">
        <v>8</v>
      </c>
      <c r="D3" s="4" t="s">
        <v>11</v>
      </c>
      <c r="E3" s="4">
        <v>103563</v>
      </c>
      <c r="F3" s="4" t="s">
        <v>10</v>
      </c>
      <c r="G3" s="9">
        <v>45031</v>
      </c>
      <c r="H3" s="7" t="str">
        <f t="shared" ref="H3:H22" si="0">TEXT(G3,"dd")</f>
        <v>15</v>
      </c>
      <c r="I3" t="str">
        <f t="shared" ref="I3:I22" si="1">TEXT(G3,"mm")</f>
        <v>04</v>
      </c>
      <c r="J3" t="str">
        <f t="shared" ref="J3:J22" si="2">TEXT(G3,"yyyy")</f>
        <v>2023</v>
      </c>
      <c r="K3" t="str">
        <f t="shared" ref="K3:K22" si="3">TEXT(G3,"mmmm")</f>
        <v>April</v>
      </c>
      <c r="L3" t="str">
        <f t="shared" ref="L3:L22" si="4">TEXT(G3,"mmm")</f>
        <v>Apr</v>
      </c>
      <c r="M3" t="str">
        <f t="shared" ref="M3:M22" si="5">TEXT(G3,"dddd")</f>
        <v>Saturday</v>
      </c>
      <c r="N3" t="str">
        <f t="shared" ref="N3:N22" si="6">TEXT(G3,"ddd")</f>
        <v>Sat</v>
      </c>
    </row>
    <row r="4" spans="1:14" x14ac:dyDescent="0.35">
      <c r="A4" s="4">
        <v>3</v>
      </c>
      <c r="B4" s="4" t="s">
        <v>7</v>
      </c>
      <c r="C4" s="4" t="s">
        <v>8</v>
      </c>
      <c r="D4" s="4" t="s">
        <v>12</v>
      </c>
      <c r="E4" s="4">
        <v>50379</v>
      </c>
      <c r="F4" s="4" t="s">
        <v>13</v>
      </c>
      <c r="G4" s="9">
        <v>41318</v>
      </c>
      <c r="H4" s="7" t="str">
        <f t="shared" si="0"/>
        <v>13</v>
      </c>
      <c r="I4" t="str">
        <f t="shared" si="1"/>
        <v>02</v>
      </c>
      <c r="J4" t="str">
        <f t="shared" si="2"/>
        <v>2013</v>
      </c>
      <c r="K4" t="str">
        <f t="shared" si="3"/>
        <v>February</v>
      </c>
      <c r="L4" t="str">
        <f t="shared" si="4"/>
        <v>Feb</v>
      </c>
      <c r="M4" t="str">
        <f t="shared" si="5"/>
        <v>Wednesday</v>
      </c>
      <c r="N4" t="str">
        <f t="shared" si="6"/>
        <v>Wed</v>
      </c>
    </row>
    <row r="5" spans="1:14" x14ac:dyDescent="0.35">
      <c r="A5" s="4">
        <v>4</v>
      </c>
      <c r="B5" s="4" t="str">
        <f>B4</f>
        <v>alice</v>
      </c>
      <c r="C5" s="4" t="s">
        <v>14</v>
      </c>
      <c r="D5" s="4" t="s">
        <v>15</v>
      </c>
      <c r="E5" s="4">
        <v>90217</v>
      </c>
      <c r="F5" s="4" t="s">
        <v>16</v>
      </c>
      <c r="G5" s="9">
        <v>41162</v>
      </c>
      <c r="H5" s="7" t="str">
        <f t="shared" si="0"/>
        <v>10</v>
      </c>
      <c r="I5" t="str">
        <f t="shared" si="1"/>
        <v>09</v>
      </c>
      <c r="J5" t="str">
        <f t="shared" si="2"/>
        <v>2012</v>
      </c>
      <c r="K5" t="str">
        <f t="shared" si="3"/>
        <v>September</v>
      </c>
      <c r="L5" t="str">
        <f t="shared" si="4"/>
        <v>Sep</v>
      </c>
      <c r="M5" t="str">
        <f t="shared" si="5"/>
        <v>Monday</v>
      </c>
      <c r="N5" t="str">
        <f t="shared" si="6"/>
        <v>Mon</v>
      </c>
    </row>
    <row r="6" spans="1:14" x14ac:dyDescent="0.35">
      <c r="A6" s="4">
        <v>5</v>
      </c>
      <c r="B6" s="4" t="s">
        <v>17</v>
      </c>
      <c r="C6" s="4" t="s">
        <v>18</v>
      </c>
      <c r="D6" s="4" t="s">
        <v>11</v>
      </c>
      <c r="E6" s="4">
        <v>39116</v>
      </c>
      <c r="F6" s="4" t="str">
        <f>F5</f>
        <v>Houston</v>
      </c>
      <c r="G6" s="9">
        <v>42858</v>
      </c>
      <c r="H6" s="7" t="str">
        <f t="shared" si="0"/>
        <v>03</v>
      </c>
      <c r="I6" t="str">
        <f t="shared" si="1"/>
        <v>05</v>
      </c>
      <c r="J6" t="str">
        <f t="shared" si="2"/>
        <v>2017</v>
      </c>
      <c r="K6" t="str">
        <f t="shared" si="3"/>
        <v>May</v>
      </c>
      <c r="L6" t="str">
        <f t="shared" si="4"/>
        <v>May</v>
      </c>
      <c r="M6" t="str">
        <f t="shared" si="5"/>
        <v>Wednesday</v>
      </c>
      <c r="N6" t="str">
        <f t="shared" si="6"/>
        <v>Wed</v>
      </c>
    </row>
    <row r="7" spans="1:14" x14ac:dyDescent="0.35">
      <c r="A7" s="4">
        <v>6</v>
      </c>
      <c r="B7" s="4" t="s">
        <v>19</v>
      </c>
      <c r="C7" s="4" t="s">
        <v>20</v>
      </c>
      <c r="D7" s="4" t="s">
        <v>15</v>
      </c>
      <c r="E7" s="4">
        <v>76566</v>
      </c>
      <c r="F7" s="4" t="s">
        <v>13</v>
      </c>
      <c r="G7" s="9">
        <v>41203</v>
      </c>
      <c r="H7" s="7" t="str">
        <f t="shared" si="0"/>
        <v>21</v>
      </c>
      <c r="I7" t="str">
        <f t="shared" si="1"/>
        <v>10</v>
      </c>
      <c r="J7" t="str">
        <f t="shared" si="2"/>
        <v>2012</v>
      </c>
      <c r="K7" t="str">
        <f t="shared" si="3"/>
        <v>October</v>
      </c>
      <c r="L7" t="str">
        <f t="shared" si="4"/>
        <v>Oct</v>
      </c>
      <c r="M7" t="str">
        <f t="shared" si="5"/>
        <v>Sunday</v>
      </c>
      <c r="N7" t="str">
        <f t="shared" si="6"/>
        <v>Sun</v>
      </c>
    </row>
    <row r="8" spans="1:14" x14ac:dyDescent="0.35">
      <c r="A8" s="4">
        <v>7</v>
      </c>
      <c r="B8" s="4" t="s">
        <v>21</v>
      </c>
      <c r="C8" s="4" t="s">
        <v>20</v>
      </c>
      <c r="D8" s="4" t="s">
        <v>15</v>
      </c>
      <c r="E8" s="4">
        <v>113886</v>
      </c>
      <c r="F8" s="4" t="s">
        <v>22</v>
      </c>
      <c r="G8" s="9">
        <v>43838</v>
      </c>
      <c r="H8" s="7" t="str">
        <f t="shared" si="0"/>
        <v>08</v>
      </c>
      <c r="I8" t="str">
        <f t="shared" si="1"/>
        <v>01</v>
      </c>
      <c r="J8" t="str">
        <f t="shared" si="2"/>
        <v>2020</v>
      </c>
      <c r="K8" t="str">
        <f t="shared" si="3"/>
        <v>January</v>
      </c>
      <c r="L8" t="str">
        <f t="shared" si="4"/>
        <v>Jan</v>
      </c>
      <c r="M8" t="str">
        <f t="shared" si="5"/>
        <v>Wednesday</v>
      </c>
      <c r="N8" t="str">
        <f t="shared" si="6"/>
        <v>Wed</v>
      </c>
    </row>
    <row r="9" spans="1:14" x14ac:dyDescent="0.35">
      <c r="A9" s="4">
        <v>8</v>
      </c>
      <c r="B9" s="4" t="s">
        <v>23</v>
      </c>
      <c r="C9" s="4" t="s">
        <v>24</v>
      </c>
      <c r="D9" s="4" t="s">
        <v>9</v>
      </c>
      <c r="E9" s="4">
        <v>104341</v>
      </c>
      <c r="F9" s="4" t="s">
        <v>13</v>
      </c>
      <c r="G9" s="9">
        <v>42690</v>
      </c>
      <c r="H9" s="7" t="str">
        <f t="shared" si="0"/>
        <v>16</v>
      </c>
      <c r="I9" t="str">
        <f t="shared" si="1"/>
        <v>11</v>
      </c>
      <c r="J9" t="str">
        <f t="shared" si="2"/>
        <v>2016</v>
      </c>
      <c r="K9" t="str">
        <f t="shared" si="3"/>
        <v>November</v>
      </c>
      <c r="L9" t="str">
        <f t="shared" si="4"/>
        <v>Nov</v>
      </c>
      <c r="M9" t="str">
        <f t="shared" si="5"/>
        <v>Wednesday</v>
      </c>
      <c r="N9" t="str">
        <f t="shared" si="6"/>
        <v>Wed</v>
      </c>
    </row>
    <row r="10" spans="1:14" x14ac:dyDescent="0.35">
      <c r="A10" s="4">
        <v>9</v>
      </c>
      <c r="B10" s="4" t="s">
        <v>25</v>
      </c>
      <c r="C10" s="4" t="s">
        <v>8</v>
      </c>
      <c r="D10" s="4" t="s">
        <v>9</v>
      </c>
      <c r="E10" s="4">
        <v>100644</v>
      </c>
      <c r="F10" s="4" t="s">
        <v>10</v>
      </c>
      <c r="G10" s="9">
        <v>45212</v>
      </c>
      <c r="H10" s="7" t="str">
        <f t="shared" si="0"/>
        <v>13</v>
      </c>
      <c r="I10" t="str">
        <f t="shared" si="1"/>
        <v>10</v>
      </c>
      <c r="J10" t="str">
        <f t="shared" si="2"/>
        <v>2023</v>
      </c>
      <c r="K10" t="str">
        <f t="shared" si="3"/>
        <v>October</v>
      </c>
      <c r="L10" t="str">
        <f t="shared" si="4"/>
        <v>Oct</v>
      </c>
      <c r="M10" t="str">
        <f t="shared" si="5"/>
        <v>Friday</v>
      </c>
      <c r="N10" t="str">
        <f t="shared" si="6"/>
        <v>Fri</v>
      </c>
    </row>
    <row r="11" spans="1:14" x14ac:dyDescent="0.35">
      <c r="A11" s="4">
        <v>10</v>
      </c>
      <c r="B11" s="4" t="s">
        <v>26</v>
      </c>
      <c r="C11" s="4" t="s">
        <v>24</v>
      </c>
      <c r="D11" s="4" t="s">
        <v>27</v>
      </c>
      <c r="E11" s="4">
        <v>50033</v>
      </c>
      <c r="F11" s="4" t="s">
        <v>16</v>
      </c>
      <c r="G11" s="9">
        <v>41103</v>
      </c>
      <c r="H11" s="7" t="str">
        <f t="shared" si="0"/>
        <v>13</v>
      </c>
      <c r="I11" t="str">
        <f t="shared" si="1"/>
        <v>07</v>
      </c>
      <c r="J11" t="str">
        <f t="shared" si="2"/>
        <v>2012</v>
      </c>
      <c r="K11" t="str">
        <f t="shared" si="3"/>
        <v>July</v>
      </c>
      <c r="L11" t="str">
        <f t="shared" si="4"/>
        <v>Jul</v>
      </c>
      <c r="M11" t="str">
        <f t="shared" si="5"/>
        <v>Friday</v>
      </c>
      <c r="N11" t="str">
        <f t="shared" si="6"/>
        <v>Fri</v>
      </c>
    </row>
    <row r="12" spans="1:14" x14ac:dyDescent="0.35">
      <c r="A12" s="4">
        <v>11</v>
      </c>
      <c r="B12" s="4" t="s">
        <v>25</v>
      </c>
      <c r="C12" s="4" t="s">
        <v>14</v>
      </c>
      <c r="D12" s="4" t="s">
        <v>27</v>
      </c>
      <c r="E12" s="4">
        <v>45014</v>
      </c>
      <c r="F12" s="4" t="s">
        <v>10</v>
      </c>
      <c r="G12" s="9">
        <v>43415</v>
      </c>
      <c r="H12" s="7" t="str">
        <f t="shared" si="0"/>
        <v>11</v>
      </c>
      <c r="I12" t="str">
        <f t="shared" si="1"/>
        <v>11</v>
      </c>
      <c r="J12" t="str">
        <f t="shared" si="2"/>
        <v>2018</v>
      </c>
      <c r="K12" t="str">
        <f t="shared" si="3"/>
        <v>November</v>
      </c>
      <c r="L12" t="str">
        <f t="shared" si="4"/>
        <v>Nov</v>
      </c>
      <c r="M12" t="str">
        <f t="shared" si="5"/>
        <v>Sunday</v>
      </c>
      <c r="N12" t="str">
        <f t="shared" si="6"/>
        <v>Sun</v>
      </c>
    </row>
    <row r="13" spans="1:14" x14ac:dyDescent="0.35">
      <c r="A13" s="4">
        <v>12</v>
      </c>
      <c r="B13" s="4" t="s">
        <v>28</v>
      </c>
      <c r="C13" s="4" t="s">
        <v>24</v>
      </c>
      <c r="D13" s="4" t="s">
        <v>15</v>
      </c>
      <c r="E13" s="4">
        <v>53416</v>
      </c>
      <c r="F13" s="4" t="s">
        <v>29</v>
      </c>
      <c r="G13" s="9">
        <v>43786</v>
      </c>
      <c r="H13" s="7" t="str">
        <f t="shared" si="0"/>
        <v>17</v>
      </c>
      <c r="I13" t="str">
        <f t="shared" si="1"/>
        <v>11</v>
      </c>
      <c r="J13" t="str">
        <f t="shared" si="2"/>
        <v>2019</v>
      </c>
      <c r="K13" t="str">
        <f t="shared" si="3"/>
        <v>November</v>
      </c>
      <c r="L13" t="str">
        <f t="shared" si="4"/>
        <v>Nov</v>
      </c>
      <c r="M13" t="str">
        <f t="shared" si="5"/>
        <v>Sunday</v>
      </c>
      <c r="N13" t="str">
        <f t="shared" si="6"/>
        <v>Sun</v>
      </c>
    </row>
    <row r="14" spans="1:14" x14ac:dyDescent="0.35">
      <c r="A14" s="4">
        <v>13</v>
      </c>
      <c r="B14" s="4" t="s">
        <v>26</v>
      </c>
      <c r="C14" s="4" t="s">
        <v>8</v>
      </c>
      <c r="D14" s="4" t="s">
        <v>11</v>
      </c>
      <c r="E14" s="4">
        <v>99514</v>
      </c>
      <c r="F14" s="4" t="s">
        <v>10</v>
      </c>
      <c r="G14" s="9">
        <v>44044</v>
      </c>
      <c r="H14" s="7" t="str">
        <f t="shared" si="0"/>
        <v>01</v>
      </c>
      <c r="I14" t="str">
        <f t="shared" si="1"/>
        <v>08</v>
      </c>
      <c r="J14" t="str">
        <f t="shared" si="2"/>
        <v>2020</v>
      </c>
      <c r="K14" t="str">
        <f t="shared" si="3"/>
        <v>August</v>
      </c>
      <c r="L14" t="str">
        <f t="shared" si="4"/>
        <v>Aug</v>
      </c>
      <c r="M14" t="str">
        <f t="shared" si="5"/>
        <v>Saturday</v>
      </c>
      <c r="N14" t="str">
        <f t="shared" si="6"/>
        <v>Sat</v>
      </c>
    </row>
    <row r="15" spans="1:14" x14ac:dyDescent="0.35">
      <c r="A15" s="4">
        <v>14</v>
      </c>
      <c r="B15" s="4" t="s">
        <v>23</v>
      </c>
      <c r="C15" s="4" t="s">
        <v>18</v>
      </c>
      <c r="D15" s="4" t="s">
        <v>9</v>
      </c>
      <c r="E15" s="4">
        <v>104364</v>
      </c>
      <c r="F15" s="4" t="s">
        <v>29</v>
      </c>
      <c r="G15" s="9">
        <v>45713</v>
      </c>
      <c r="H15" s="7" t="str">
        <f t="shared" si="0"/>
        <v>25</v>
      </c>
      <c r="I15" t="str">
        <f t="shared" si="1"/>
        <v>02</v>
      </c>
      <c r="J15" t="str">
        <f t="shared" si="2"/>
        <v>2025</v>
      </c>
      <c r="K15" t="str">
        <f t="shared" si="3"/>
        <v>February</v>
      </c>
      <c r="L15" t="str">
        <f t="shared" si="4"/>
        <v>Feb</v>
      </c>
      <c r="M15" t="str">
        <f t="shared" si="5"/>
        <v>Tuesday</v>
      </c>
      <c r="N15" t="str">
        <f t="shared" si="6"/>
        <v>Tue</v>
      </c>
    </row>
    <row r="16" spans="1:14" x14ac:dyDescent="0.35">
      <c r="A16" s="4">
        <v>15</v>
      </c>
      <c r="B16" s="4" t="s">
        <v>26</v>
      </c>
      <c r="C16" s="4" t="s">
        <v>20</v>
      </c>
      <c r="D16" s="4" t="s">
        <v>11</v>
      </c>
      <c r="E16" s="4">
        <v>99163</v>
      </c>
      <c r="F16" s="4" t="s">
        <v>16</v>
      </c>
      <c r="G16" s="9">
        <v>42638</v>
      </c>
      <c r="H16" s="7" t="str">
        <f t="shared" si="0"/>
        <v>25</v>
      </c>
      <c r="I16" t="str">
        <f t="shared" si="1"/>
        <v>09</v>
      </c>
      <c r="J16" t="str">
        <f t="shared" si="2"/>
        <v>2016</v>
      </c>
      <c r="K16" t="str">
        <f t="shared" si="3"/>
        <v>September</v>
      </c>
      <c r="L16" t="str">
        <f t="shared" si="4"/>
        <v>Sep</v>
      </c>
      <c r="M16" t="str">
        <f t="shared" si="5"/>
        <v>Sunday</v>
      </c>
      <c r="N16" t="str">
        <f t="shared" si="6"/>
        <v>Sun</v>
      </c>
    </row>
    <row r="17" spans="1:14" x14ac:dyDescent="0.35">
      <c r="A17" s="4">
        <v>16</v>
      </c>
      <c r="B17" s="4" t="s">
        <v>21</v>
      </c>
      <c r="C17" s="4" t="s">
        <v>20</v>
      </c>
      <c r="D17" s="4" t="s">
        <v>15</v>
      </c>
      <c r="E17" s="4">
        <v>97839</v>
      </c>
      <c r="F17" s="4" t="s">
        <v>22</v>
      </c>
      <c r="G17" s="9">
        <v>42777</v>
      </c>
      <c r="H17" s="7" t="str">
        <f t="shared" si="0"/>
        <v>11</v>
      </c>
      <c r="I17" t="str">
        <f t="shared" si="1"/>
        <v>02</v>
      </c>
      <c r="J17" t="str">
        <f t="shared" si="2"/>
        <v>2017</v>
      </c>
      <c r="K17" t="str">
        <f t="shared" si="3"/>
        <v>February</v>
      </c>
      <c r="L17" t="str">
        <f t="shared" si="4"/>
        <v>Feb</v>
      </c>
      <c r="M17" t="str">
        <f t="shared" si="5"/>
        <v>Saturday</v>
      </c>
      <c r="N17" t="str">
        <f t="shared" si="6"/>
        <v>Sat</v>
      </c>
    </row>
    <row r="18" spans="1:14" x14ac:dyDescent="0.35">
      <c r="A18" s="4">
        <v>17</v>
      </c>
      <c r="B18" s="4" t="str">
        <f>B17</f>
        <v>david</v>
      </c>
      <c r="C18" s="4" t="s">
        <v>14</v>
      </c>
      <c r="D18" s="4" t="s">
        <v>9</v>
      </c>
      <c r="E18" s="4">
        <f>E17</f>
        <v>97839</v>
      </c>
      <c r="F18" s="4" t="s">
        <v>29</v>
      </c>
      <c r="G18" s="9">
        <v>42768</v>
      </c>
      <c r="H18" s="7" t="str">
        <f t="shared" si="0"/>
        <v>02</v>
      </c>
      <c r="I18" t="str">
        <f t="shared" si="1"/>
        <v>02</v>
      </c>
      <c r="J18" t="str">
        <f t="shared" si="2"/>
        <v>2017</v>
      </c>
      <c r="K18" t="str">
        <f t="shared" si="3"/>
        <v>February</v>
      </c>
      <c r="L18" t="str">
        <f t="shared" si="4"/>
        <v>Feb</v>
      </c>
      <c r="M18" t="str">
        <f t="shared" si="5"/>
        <v>Thursday</v>
      </c>
      <c r="N18" t="str">
        <f t="shared" si="6"/>
        <v>Thu</v>
      </c>
    </row>
    <row r="19" spans="1:14" x14ac:dyDescent="0.35">
      <c r="A19" s="4">
        <v>18</v>
      </c>
      <c r="B19" s="4" t="s">
        <v>19</v>
      </c>
      <c r="C19" s="4" t="s">
        <v>18</v>
      </c>
      <c r="D19" s="4" t="s">
        <v>12</v>
      </c>
      <c r="E19" s="4">
        <v>47342</v>
      </c>
      <c r="F19" s="4" t="s">
        <v>10</v>
      </c>
      <c r="G19" s="9">
        <v>45773</v>
      </c>
      <c r="H19" s="7" t="str">
        <f t="shared" si="0"/>
        <v>26</v>
      </c>
      <c r="I19" t="str">
        <f t="shared" si="1"/>
        <v>04</v>
      </c>
      <c r="J19" t="str">
        <f t="shared" si="2"/>
        <v>2025</v>
      </c>
      <c r="K19" t="str">
        <f t="shared" si="3"/>
        <v>April</v>
      </c>
      <c r="L19" t="str">
        <f t="shared" si="4"/>
        <v>Apr</v>
      </c>
      <c r="M19" t="str">
        <f t="shared" si="5"/>
        <v>Saturday</v>
      </c>
      <c r="N19" t="str">
        <f t="shared" si="6"/>
        <v>Sat</v>
      </c>
    </row>
    <row r="20" spans="1:14" x14ac:dyDescent="0.35">
      <c r="A20" s="4">
        <v>19</v>
      </c>
      <c r="B20" s="4" t="s">
        <v>28</v>
      </c>
      <c r="C20" s="4" t="s">
        <v>24</v>
      </c>
      <c r="D20" s="4" t="s">
        <v>12</v>
      </c>
      <c r="E20" s="4">
        <v>83883</v>
      </c>
      <c r="F20" s="4" t="s">
        <v>29</v>
      </c>
      <c r="G20" s="9">
        <v>41287</v>
      </c>
      <c r="H20" s="7" t="str">
        <f t="shared" si="0"/>
        <v>13</v>
      </c>
      <c r="I20" t="str">
        <f t="shared" si="1"/>
        <v>01</v>
      </c>
      <c r="J20" t="str">
        <f t="shared" si="2"/>
        <v>2013</v>
      </c>
      <c r="K20" t="str">
        <f t="shared" si="3"/>
        <v>January</v>
      </c>
      <c r="L20" t="str">
        <f t="shared" si="4"/>
        <v>Jan</v>
      </c>
      <c r="M20" t="str">
        <f t="shared" si="5"/>
        <v>Sunday</v>
      </c>
      <c r="N20" t="str">
        <f t="shared" si="6"/>
        <v>Sun</v>
      </c>
    </row>
    <row r="21" spans="1:14" x14ac:dyDescent="0.35">
      <c r="A21" s="4">
        <v>20</v>
      </c>
      <c r="B21" s="4" t="s">
        <v>19</v>
      </c>
      <c r="C21" s="4" t="s">
        <v>8</v>
      </c>
      <c r="D21" s="4" t="s">
        <v>11</v>
      </c>
      <c r="E21" s="4">
        <v>85296</v>
      </c>
      <c r="F21" s="4" t="s">
        <v>16</v>
      </c>
      <c r="G21" s="9">
        <v>42781</v>
      </c>
      <c r="H21" s="7" t="str">
        <f t="shared" si="0"/>
        <v>15</v>
      </c>
      <c r="I21" t="str">
        <f t="shared" si="1"/>
        <v>02</v>
      </c>
      <c r="J21" t="str">
        <f t="shared" si="2"/>
        <v>2017</v>
      </c>
      <c r="K21" t="str">
        <f t="shared" si="3"/>
        <v>February</v>
      </c>
      <c r="L21" t="str">
        <f t="shared" si="4"/>
        <v>Feb</v>
      </c>
      <c r="M21" t="str">
        <f t="shared" si="5"/>
        <v>Wednesday</v>
      </c>
      <c r="N21" t="str">
        <f t="shared" si="6"/>
        <v>Wed</v>
      </c>
    </row>
    <row r="22" spans="1:14" x14ac:dyDescent="0.35">
      <c r="A22" s="4">
        <v>21</v>
      </c>
      <c r="B22" s="4" t="s">
        <v>30</v>
      </c>
      <c r="C22" s="4" t="s">
        <v>14</v>
      </c>
      <c r="D22" s="4" t="s">
        <v>27</v>
      </c>
      <c r="E22" s="4">
        <v>60982</v>
      </c>
      <c r="F22" s="4" t="s">
        <v>16</v>
      </c>
      <c r="G22" s="9">
        <v>45775</v>
      </c>
      <c r="H22" s="7" t="str">
        <f t="shared" si="0"/>
        <v>28</v>
      </c>
      <c r="I22" t="str">
        <f t="shared" si="1"/>
        <v>04</v>
      </c>
      <c r="J22" t="str">
        <f t="shared" si="2"/>
        <v>2025</v>
      </c>
      <c r="K22" t="str">
        <f t="shared" si="3"/>
        <v>April</v>
      </c>
      <c r="L22" t="str">
        <f t="shared" si="4"/>
        <v>Apr</v>
      </c>
      <c r="M22" t="str">
        <f t="shared" si="5"/>
        <v>Monday</v>
      </c>
      <c r="N22" t="str">
        <f t="shared" si="6"/>
        <v>Mon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2"/>
  <sheetViews>
    <sheetView workbookViewId="0">
      <selection activeCell="E2" sqref="E2"/>
    </sheetView>
  </sheetViews>
  <sheetFormatPr defaultRowHeight="14.5" x14ac:dyDescent="0.35"/>
  <cols>
    <col min="1" max="1" width="6.6328125" customWidth="1"/>
    <col min="2" max="2" width="55" bestFit="1" customWidth="1"/>
    <col min="5" max="5" width="13.7265625" customWidth="1"/>
    <col min="6" max="6" width="8.26953125" customWidth="1"/>
    <col min="7" max="7" width="13.90625" customWidth="1"/>
    <col min="8" max="8" width="10.26953125" customWidth="1"/>
    <col min="9" max="9" width="8.36328125" customWidth="1"/>
    <col min="10" max="10" width="6.54296875" bestFit="1" customWidth="1"/>
    <col min="11" max="11" width="13.453125" style="6" customWidth="1"/>
  </cols>
  <sheetData>
    <row r="1" spans="2:11" x14ac:dyDescent="0.35">
      <c r="B1" s="3" t="s">
        <v>69</v>
      </c>
    </row>
    <row r="2" spans="2:11" ht="15.5" x14ac:dyDescent="0.35">
      <c r="B2" s="4" t="s">
        <v>70</v>
      </c>
      <c r="C2" s="4"/>
      <c r="D2" s="4"/>
      <c r="E2" s="10" t="s">
        <v>0</v>
      </c>
      <c r="F2" s="10" t="s">
        <v>1</v>
      </c>
      <c r="G2" s="10" t="s">
        <v>2</v>
      </c>
      <c r="H2" s="11" t="s">
        <v>3</v>
      </c>
      <c r="I2" s="10" t="s">
        <v>4</v>
      </c>
      <c r="J2" s="10" t="s">
        <v>5</v>
      </c>
      <c r="K2" s="12" t="s">
        <v>6</v>
      </c>
    </row>
    <row r="3" spans="2:11" x14ac:dyDescent="0.35">
      <c r="B3" s="4" t="s">
        <v>71</v>
      </c>
      <c r="C3" s="4"/>
      <c r="D3" s="4"/>
      <c r="E3" s="4">
        <v>101</v>
      </c>
      <c r="F3" s="4" t="s">
        <v>31</v>
      </c>
      <c r="G3" s="4" t="s">
        <v>8</v>
      </c>
      <c r="H3" s="5" t="s">
        <v>15</v>
      </c>
      <c r="I3">
        <v>75000</v>
      </c>
      <c r="J3" t="s">
        <v>92</v>
      </c>
      <c r="K3" s="6" t="s">
        <v>93</v>
      </c>
    </row>
    <row r="4" spans="2:11" hidden="1" x14ac:dyDescent="0.35">
      <c r="B4" s="4" t="s">
        <v>72</v>
      </c>
      <c r="C4" s="4"/>
      <c r="D4" s="4"/>
      <c r="E4" s="4">
        <v>102</v>
      </c>
      <c r="F4" s="4" t="s">
        <v>94</v>
      </c>
      <c r="G4" s="4" t="s">
        <v>8</v>
      </c>
      <c r="H4" s="5" t="s">
        <v>11</v>
      </c>
      <c r="I4">
        <v>65000</v>
      </c>
      <c r="J4" t="s">
        <v>92</v>
      </c>
      <c r="K4" s="6" t="s">
        <v>93</v>
      </c>
    </row>
    <row r="5" spans="2:11" hidden="1" x14ac:dyDescent="0.35">
      <c r="B5" s="4" t="s">
        <v>73</v>
      </c>
      <c r="C5" s="4"/>
      <c r="D5" s="4"/>
      <c r="E5" s="4">
        <v>103</v>
      </c>
      <c r="F5" s="4" t="s">
        <v>95</v>
      </c>
      <c r="G5" s="4" t="s">
        <v>18</v>
      </c>
      <c r="H5" s="5" t="s">
        <v>11</v>
      </c>
      <c r="I5">
        <v>60000</v>
      </c>
      <c r="J5" t="s">
        <v>92</v>
      </c>
      <c r="K5" s="6" t="s">
        <v>96</v>
      </c>
    </row>
    <row r="6" spans="2:11" x14ac:dyDescent="0.35">
      <c r="B6" s="4" t="s">
        <v>74</v>
      </c>
      <c r="C6" s="4"/>
      <c r="D6" s="4"/>
      <c r="E6" s="4">
        <v>104</v>
      </c>
      <c r="F6" s="4" t="s">
        <v>31</v>
      </c>
      <c r="G6" s="4" t="s">
        <v>8</v>
      </c>
      <c r="H6" s="5" t="s">
        <v>15</v>
      </c>
      <c r="I6">
        <v>75000</v>
      </c>
      <c r="J6" t="s">
        <v>92</v>
      </c>
      <c r="K6" s="6" t="s">
        <v>93</v>
      </c>
    </row>
    <row r="7" spans="2:11" hidden="1" x14ac:dyDescent="0.35">
      <c r="B7" s="4" t="s">
        <v>75</v>
      </c>
      <c r="C7" s="4"/>
      <c r="D7" s="4"/>
      <c r="E7" s="4">
        <v>105</v>
      </c>
      <c r="F7" s="4" t="s">
        <v>94</v>
      </c>
      <c r="G7" s="4" t="s">
        <v>8</v>
      </c>
      <c r="H7" s="5" t="s">
        <v>11</v>
      </c>
      <c r="I7">
        <v>65000</v>
      </c>
      <c r="J7" t="s">
        <v>92</v>
      </c>
      <c r="K7" s="6" t="s">
        <v>93</v>
      </c>
    </row>
    <row r="8" spans="2:11" hidden="1" x14ac:dyDescent="0.35">
      <c r="B8" s="4" t="s">
        <v>76</v>
      </c>
      <c r="C8" s="4"/>
      <c r="D8" s="4"/>
      <c r="E8" s="4">
        <v>106</v>
      </c>
      <c r="F8" s="4" t="s">
        <v>95</v>
      </c>
      <c r="G8" s="4" t="s">
        <v>18</v>
      </c>
      <c r="H8" s="5" t="s">
        <v>11</v>
      </c>
      <c r="I8">
        <v>60000</v>
      </c>
      <c r="J8" t="s">
        <v>92</v>
      </c>
      <c r="K8" s="6" t="s">
        <v>96</v>
      </c>
    </row>
    <row r="9" spans="2:11" x14ac:dyDescent="0.35">
      <c r="B9" s="4" t="s">
        <v>77</v>
      </c>
      <c r="C9" s="4"/>
      <c r="D9" s="4"/>
      <c r="E9" s="4">
        <v>107</v>
      </c>
      <c r="F9" s="4" t="s">
        <v>31</v>
      </c>
      <c r="G9" s="4" t="s">
        <v>8</v>
      </c>
      <c r="H9" s="5" t="s">
        <v>15</v>
      </c>
      <c r="I9">
        <v>75000</v>
      </c>
      <c r="J9" t="s">
        <v>92</v>
      </c>
      <c r="K9" s="6" t="s">
        <v>93</v>
      </c>
    </row>
    <row r="10" spans="2:11" hidden="1" x14ac:dyDescent="0.35">
      <c r="B10" s="4" t="s">
        <v>78</v>
      </c>
      <c r="C10" s="4"/>
      <c r="D10" s="4"/>
      <c r="E10" s="4">
        <v>108</v>
      </c>
      <c r="F10" s="4" t="s">
        <v>94</v>
      </c>
      <c r="G10" s="4" t="s">
        <v>8</v>
      </c>
      <c r="H10" s="5" t="s">
        <v>11</v>
      </c>
      <c r="I10">
        <v>65000</v>
      </c>
      <c r="J10" t="s">
        <v>92</v>
      </c>
      <c r="K10" s="6" t="s">
        <v>93</v>
      </c>
    </row>
    <row r="11" spans="2:11" hidden="1" x14ac:dyDescent="0.35">
      <c r="B11" s="4"/>
      <c r="C11" s="4"/>
      <c r="D11" s="4"/>
      <c r="E11" s="4">
        <v>109</v>
      </c>
      <c r="F11" s="4" t="s">
        <v>95</v>
      </c>
      <c r="G11" s="4" t="s">
        <v>18</v>
      </c>
      <c r="H11" s="5" t="s">
        <v>11</v>
      </c>
      <c r="I11">
        <v>60000</v>
      </c>
      <c r="J11" t="s">
        <v>92</v>
      </c>
      <c r="K11" s="6" t="s">
        <v>96</v>
      </c>
    </row>
    <row r="12" spans="2:11" x14ac:dyDescent="0.35">
      <c r="B12" s="4"/>
      <c r="C12" s="4"/>
      <c r="D12" s="4"/>
      <c r="E12" s="4"/>
      <c r="F12" s="4"/>
      <c r="G12" s="4"/>
      <c r="H12" s="5"/>
    </row>
    <row r="13" spans="2:11" x14ac:dyDescent="0.35">
      <c r="B13" s="4"/>
      <c r="C13" s="4"/>
      <c r="D13" s="4"/>
      <c r="E13" s="4"/>
      <c r="F13" s="4"/>
      <c r="G13" s="4"/>
      <c r="H13" s="5"/>
    </row>
    <row r="14" spans="2:11" x14ac:dyDescent="0.35">
      <c r="B14" s="4"/>
      <c r="C14" s="4"/>
      <c r="D14" s="4"/>
      <c r="E14" s="4"/>
      <c r="F14" s="4"/>
      <c r="G14" s="4"/>
      <c r="H14" s="5"/>
    </row>
    <row r="15" spans="2:11" x14ac:dyDescent="0.35">
      <c r="B15" s="4"/>
      <c r="C15" s="4"/>
      <c r="D15" s="4"/>
      <c r="E15" s="4"/>
      <c r="F15" s="4"/>
      <c r="G15" s="4"/>
      <c r="H15" s="5"/>
    </row>
    <row r="16" spans="2:11" x14ac:dyDescent="0.35">
      <c r="B16" s="4"/>
      <c r="C16" s="4"/>
      <c r="D16" s="4"/>
      <c r="E16" s="4"/>
      <c r="F16" s="4"/>
      <c r="G16" s="4"/>
      <c r="H16" s="5"/>
    </row>
    <row r="17" spans="2:8" x14ac:dyDescent="0.35">
      <c r="B17" s="4"/>
      <c r="C17" s="4"/>
      <c r="D17" s="4"/>
      <c r="E17" s="4"/>
      <c r="F17" s="4"/>
      <c r="G17" s="4"/>
      <c r="H17" s="5"/>
    </row>
    <row r="18" spans="2:8" x14ac:dyDescent="0.35">
      <c r="B18" s="4"/>
      <c r="C18" s="4"/>
      <c r="D18" s="4"/>
      <c r="E18" s="4"/>
      <c r="F18" s="4"/>
      <c r="G18" s="4"/>
      <c r="H18" s="5"/>
    </row>
    <row r="19" spans="2:8" x14ac:dyDescent="0.35">
      <c r="B19" s="4"/>
      <c r="C19" s="4"/>
      <c r="D19" s="4"/>
      <c r="E19" s="4"/>
      <c r="F19" s="4"/>
      <c r="G19" s="4"/>
      <c r="H19" s="5"/>
    </row>
    <row r="20" spans="2:8" x14ac:dyDescent="0.35">
      <c r="B20" s="4"/>
      <c r="C20" s="4"/>
      <c r="D20" s="4"/>
      <c r="E20" s="4"/>
      <c r="F20" s="4"/>
      <c r="G20" s="4"/>
      <c r="H20" s="5"/>
    </row>
    <row r="21" spans="2:8" x14ac:dyDescent="0.35">
      <c r="B21" s="4"/>
      <c r="C21" s="4"/>
      <c r="D21" s="4"/>
      <c r="E21" s="4"/>
      <c r="F21" s="4"/>
      <c r="G21" s="4"/>
      <c r="H21" s="5"/>
    </row>
    <row r="22" spans="2:8" x14ac:dyDescent="0.35">
      <c r="B22" s="4"/>
      <c r="C22" s="4"/>
      <c r="D22" s="4"/>
      <c r="E22" s="4"/>
      <c r="F22" s="4"/>
      <c r="G22" s="4"/>
      <c r="H22" s="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G10" sqref="G10"/>
    </sheetView>
  </sheetViews>
  <sheetFormatPr defaultRowHeight="14.5" x14ac:dyDescent="0.35"/>
  <cols>
    <col min="1" max="1" width="17.453125" bestFit="1" customWidth="1"/>
    <col min="2" max="2" width="10" bestFit="1" customWidth="1"/>
    <col min="3" max="3" width="7.81640625" bestFit="1" customWidth="1"/>
  </cols>
  <sheetData>
    <row r="1" spans="1:3" x14ac:dyDescent="0.35">
      <c r="A1" t="s">
        <v>79</v>
      </c>
      <c r="B1" t="s">
        <v>5</v>
      </c>
      <c r="C1" t="s">
        <v>83</v>
      </c>
    </row>
    <row r="2" spans="1:3" x14ac:dyDescent="0.35">
      <c r="A2" t="s">
        <v>84</v>
      </c>
      <c r="B2" t="str">
        <f>LEFT(A2,FIND("-",A2,1)-1)</f>
        <v>Lahore</v>
      </c>
      <c r="C2" t="str">
        <f>RIGHT(A2,LEN(A2)-FIND("-",A2,1))</f>
        <v>0923567</v>
      </c>
    </row>
    <row r="3" spans="1:3" x14ac:dyDescent="0.35">
      <c r="A3" t="s">
        <v>97</v>
      </c>
      <c r="B3" t="str">
        <f t="shared" ref="B3:B8" si="0">LEFT(A3,FIND("-",A3,1)-1)</f>
        <v>Faisalabad</v>
      </c>
      <c r="C3" t="str">
        <f t="shared" ref="C3:C8" si="1">RIGHT(A3,LEN(A3)-FIND("-",A3,1))</f>
        <v>0887312</v>
      </c>
    </row>
    <row r="4" spans="1:3" x14ac:dyDescent="0.35">
      <c r="A4" t="s">
        <v>98</v>
      </c>
      <c r="B4" t="str">
        <f t="shared" si="0"/>
        <v>Karachi</v>
      </c>
      <c r="C4" t="str">
        <f t="shared" si="1"/>
        <v>0938745</v>
      </c>
    </row>
    <row r="5" spans="1:3" x14ac:dyDescent="0.35">
      <c r="A5" t="s">
        <v>99</v>
      </c>
      <c r="B5" t="str">
        <f t="shared" si="0"/>
        <v>Multan</v>
      </c>
      <c r="C5" t="str">
        <f t="shared" si="1"/>
        <v>0768845</v>
      </c>
    </row>
    <row r="6" spans="1:3" x14ac:dyDescent="0.35">
      <c r="A6" t="s">
        <v>80</v>
      </c>
      <c r="B6" t="str">
        <f t="shared" si="0"/>
        <v>Rawalpindi</v>
      </c>
      <c r="C6" t="str">
        <f t="shared" si="1"/>
        <v>08976</v>
      </c>
    </row>
    <row r="7" spans="1:3" x14ac:dyDescent="0.35">
      <c r="A7" t="s">
        <v>100</v>
      </c>
      <c r="B7" t="str">
        <f t="shared" si="0"/>
        <v>Rohri</v>
      </c>
      <c r="C7" t="str">
        <f t="shared" si="1"/>
        <v>076675</v>
      </c>
    </row>
    <row r="8" spans="1:3" x14ac:dyDescent="0.35">
      <c r="A8" t="s">
        <v>101</v>
      </c>
      <c r="B8" t="str">
        <f t="shared" si="0"/>
        <v>Sangla Hill</v>
      </c>
      <c r="C8" t="str">
        <f t="shared" si="1"/>
        <v>0985244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K3" sqref="K3"/>
    </sheetView>
  </sheetViews>
  <sheetFormatPr defaultRowHeight="14.5" x14ac:dyDescent="0.35"/>
  <cols>
    <col min="1" max="1" width="10.81640625" bestFit="1" customWidth="1"/>
    <col min="2" max="2" width="7.1796875" bestFit="1" customWidth="1"/>
    <col min="3" max="3" width="11.08984375" bestFit="1" customWidth="1"/>
    <col min="4" max="4" width="8.6328125" bestFit="1" customWidth="1"/>
    <col min="5" max="5" width="6.81640625" bestFit="1" customWidth="1"/>
    <col min="6" max="6" width="10.453125" bestFit="1" customWidth="1"/>
    <col min="7" max="7" width="10.54296875" bestFit="1" customWidth="1"/>
    <col min="10" max="10" width="7.81640625" bestFit="1" customWidth="1"/>
    <col min="11" max="11" width="10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11" ht="18.5" x14ac:dyDescent="0.45">
      <c r="A2" s="4">
        <v>1</v>
      </c>
      <c r="B2" s="4" t="s">
        <v>7</v>
      </c>
      <c r="C2" s="4" t="s">
        <v>8</v>
      </c>
      <c r="D2" s="4" t="s">
        <v>9</v>
      </c>
      <c r="E2" s="4">
        <v>43434</v>
      </c>
      <c r="F2" s="4" t="s">
        <v>10</v>
      </c>
      <c r="G2" s="5">
        <v>41196</v>
      </c>
      <c r="J2" s="13" t="s">
        <v>102</v>
      </c>
      <c r="K2" s="13" t="s">
        <v>103</v>
      </c>
    </row>
    <row r="3" spans="1:11" x14ac:dyDescent="0.35">
      <c r="A3" s="4">
        <v>2</v>
      </c>
      <c r="B3" s="4" t="str">
        <f>B2</f>
        <v>alice</v>
      </c>
      <c r="C3" s="4" t="s">
        <v>8</v>
      </c>
      <c r="D3" s="4" t="s">
        <v>11</v>
      </c>
      <c r="E3" s="4">
        <v>103563</v>
      </c>
      <c r="F3" s="4" t="s">
        <v>10</v>
      </c>
      <c r="G3" s="5">
        <v>45031</v>
      </c>
      <c r="J3" t="s">
        <v>14</v>
      </c>
      <c r="K3" t="s">
        <v>14</v>
      </c>
    </row>
    <row r="4" spans="1:11" x14ac:dyDescent="0.35">
      <c r="A4" s="4">
        <v>3</v>
      </c>
      <c r="B4" s="4" t="s">
        <v>7</v>
      </c>
      <c r="C4" s="4" t="s">
        <v>8</v>
      </c>
      <c r="D4" s="4" t="s">
        <v>12</v>
      </c>
      <c r="E4" s="4">
        <v>50379</v>
      </c>
      <c r="F4" s="4" t="s">
        <v>13</v>
      </c>
      <c r="G4" s="5">
        <v>41318</v>
      </c>
      <c r="J4">
        <f>SUMIF(C2:C22,J3,E2:E22)</f>
        <v>294052</v>
      </c>
      <c r="K4">
        <f>COUNTIF(C2:C22,K3)</f>
        <v>4</v>
      </c>
    </row>
    <row r="5" spans="1:11" x14ac:dyDescent="0.35">
      <c r="A5" s="4">
        <v>4</v>
      </c>
      <c r="B5" s="4" t="str">
        <f>B4</f>
        <v>alice</v>
      </c>
      <c r="C5" s="4" t="s">
        <v>14</v>
      </c>
      <c r="D5" s="4" t="s">
        <v>15</v>
      </c>
      <c r="E5" s="4">
        <v>90217</v>
      </c>
      <c r="F5" s="4" t="s">
        <v>16</v>
      </c>
      <c r="G5" s="5">
        <v>41162</v>
      </c>
    </row>
    <row r="6" spans="1:11" x14ac:dyDescent="0.35">
      <c r="A6" s="4">
        <v>5</v>
      </c>
      <c r="B6" s="4" t="s">
        <v>17</v>
      </c>
      <c r="C6" s="4" t="s">
        <v>18</v>
      </c>
      <c r="D6" s="4" t="s">
        <v>11</v>
      </c>
      <c r="E6" s="4">
        <v>39116</v>
      </c>
      <c r="F6" s="4" t="str">
        <f>F5</f>
        <v>Houston</v>
      </c>
      <c r="G6" s="5">
        <v>42858</v>
      </c>
    </row>
    <row r="7" spans="1:11" x14ac:dyDescent="0.35">
      <c r="A7" s="4">
        <v>6</v>
      </c>
      <c r="B7" s="4" t="s">
        <v>19</v>
      </c>
      <c r="C7" s="4" t="s">
        <v>20</v>
      </c>
      <c r="D7" s="4" t="s">
        <v>15</v>
      </c>
      <c r="E7" s="4">
        <v>76566</v>
      </c>
      <c r="F7" s="4" t="s">
        <v>13</v>
      </c>
      <c r="G7" s="5">
        <v>41203</v>
      </c>
    </row>
    <row r="8" spans="1:11" x14ac:dyDescent="0.35">
      <c r="A8" s="4">
        <v>7</v>
      </c>
      <c r="B8" s="4" t="s">
        <v>21</v>
      </c>
      <c r="C8" s="4" t="s">
        <v>20</v>
      </c>
      <c r="D8" s="4" t="s">
        <v>15</v>
      </c>
      <c r="E8" s="4">
        <v>113886</v>
      </c>
      <c r="F8" s="4" t="s">
        <v>22</v>
      </c>
      <c r="G8" s="5">
        <v>43838</v>
      </c>
    </row>
    <row r="9" spans="1:11" x14ac:dyDescent="0.35">
      <c r="A9" s="4">
        <v>8</v>
      </c>
      <c r="B9" s="4" t="s">
        <v>23</v>
      </c>
      <c r="C9" s="4" t="s">
        <v>24</v>
      </c>
      <c r="D9" s="4" t="s">
        <v>9</v>
      </c>
      <c r="E9" s="4">
        <v>104341</v>
      </c>
      <c r="F9" s="4" t="s">
        <v>13</v>
      </c>
      <c r="G9" s="5">
        <v>42690</v>
      </c>
    </row>
    <row r="10" spans="1:11" x14ac:dyDescent="0.35">
      <c r="A10" s="4">
        <v>9</v>
      </c>
      <c r="B10" s="4" t="s">
        <v>25</v>
      </c>
      <c r="C10" s="4" t="s">
        <v>8</v>
      </c>
      <c r="D10" s="4" t="s">
        <v>9</v>
      </c>
      <c r="E10" s="4">
        <v>100644</v>
      </c>
      <c r="F10" s="4" t="s">
        <v>10</v>
      </c>
      <c r="G10" s="5">
        <v>45212</v>
      </c>
    </row>
    <row r="11" spans="1:11" x14ac:dyDescent="0.35">
      <c r="A11" s="4">
        <v>10</v>
      </c>
      <c r="B11" s="4" t="s">
        <v>26</v>
      </c>
      <c r="C11" s="4" t="s">
        <v>24</v>
      </c>
      <c r="D11" s="4" t="s">
        <v>27</v>
      </c>
      <c r="E11" s="4">
        <v>50033</v>
      </c>
      <c r="F11" s="4" t="s">
        <v>16</v>
      </c>
      <c r="G11" s="5">
        <v>41103</v>
      </c>
    </row>
    <row r="12" spans="1:11" x14ac:dyDescent="0.35">
      <c r="A12" s="4">
        <v>11</v>
      </c>
      <c r="B12" s="4" t="s">
        <v>25</v>
      </c>
      <c r="C12" s="4" t="s">
        <v>14</v>
      </c>
      <c r="D12" s="4" t="s">
        <v>27</v>
      </c>
      <c r="E12" s="4">
        <v>45014</v>
      </c>
      <c r="F12" s="4" t="s">
        <v>10</v>
      </c>
      <c r="G12" s="5">
        <v>43415</v>
      </c>
    </row>
    <row r="13" spans="1:11" x14ac:dyDescent="0.35">
      <c r="A13" s="4">
        <v>12</v>
      </c>
      <c r="B13" s="4" t="s">
        <v>28</v>
      </c>
      <c r="C13" s="4" t="s">
        <v>24</v>
      </c>
      <c r="D13" s="4" t="s">
        <v>15</v>
      </c>
      <c r="E13" s="4">
        <v>53416</v>
      </c>
      <c r="F13" s="4" t="s">
        <v>29</v>
      </c>
      <c r="G13" s="5">
        <v>43786</v>
      </c>
    </row>
    <row r="14" spans="1:11" x14ac:dyDescent="0.35">
      <c r="A14" s="4">
        <v>13</v>
      </c>
      <c r="B14" s="4" t="s">
        <v>26</v>
      </c>
      <c r="C14" s="4" t="s">
        <v>8</v>
      </c>
      <c r="D14" s="4" t="s">
        <v>11</v>
      </c>
      <c r="E14" s="4">
        <v>99514</v>
      </c>
      <c r="F14" s="4" t="s">
        <v>10</v>
      </c>
      <c r="G14" s="5">
        <v>44044</v>
      </c>
    </row>
    <row r="15" spans="1:11" x14ac:dyDescent="0.35">
      <c r="A15" s="4">
        <v>14</v>
      </c>
      <c r="B15" s="4" t="s">
        <v>23</v>
      </c>
      <c r="C15" s="4" t="s">
        <v>18</v>
      </c>
      <c r="D15" s="4" t="s">
        <v>9</v>
      </c>
      <c r="E15" s="4">
        <v>104364</v>
      </c>
      <c r="F15" s="4" t="s">
        <v>29</v>
      </c>
      <c r="G15" s="5">
        <v>45713</v>
      </c>
    </row>
    <row r="16" spans="1:11" x14ac:dyDescent="0.35">
      <c r="A16" s="4">
        <v>15</v>
      </c>
      <c r="B16" s="4" t="s">
        <v>26</v>
      </c>
      <c r="C16" s="4" t="s">
        <v>20</v>
      </c>
      <c r="D16" s="4" t="s">
        <v>11</v>
      </c>
      <c r="E16" s="4">
        <v>99163</v>
      </c>
      <c r="F16" s="4" t="s">
        <v>16</v>
      </c>
      <c r="G16" s="5">
        <v>42638</v>
      </c>
    </row>
    <row r="17" spans="1:7" x14ac:dyDescent="0.35">
      <c r="A17" s="4">
        <v>16</v>
      </c>
      <c r="B17" s="4" t="s">
        <v>21</v>
      </c>
      <c r="C17" s="4" t="s">
        <v>20</v>
      </c>
      <c r="D17" s="4" t="s">
        <v>15</v>
      </c>
      <c r="E17" s="4">
        <v>97839</v>
      </c>
      <c r="F17" s="4" t="s">
        <v>22</v>
      </c>
      <c r="G17" s="5">
        <v>42777</v>
      </c>
    </row>
    <row r="18" spans="1:7" x14ac:dyDescent="0.35">
      <c r="A18" s="4">
        <v>17</v>
      </c>
      <c r="B18" s="4" t="str">
        <f>B17</f>
        <v>david</v>
      </c>
      <c r="C18" s="4" t="s">
        <v>14</v>
      </c>
      <c r="D18" s="4" t="s">
        <v>9</v>
      </c>
      <c r="E18" s="4">
        <f>E17</f>
        <v>97839</v>
      </c>
      <c r="F18" s="4" t="s">
        <v>29</v>
      </c>
      <c r="G18" s="5">
        <v>42768</v>
      </c>
    </row>
    <row r="19" spans="1:7" x14ac:dyDescent="0.35">
      <c r="A19" s="4">
        <v>18</v>
      </c>
      <c r="B19" s="4" t="s">
        <v>19</v>
      </c>
      <c r="C19" s="4" t="s">
        <v>18</v>
      </c>
      <c r="D19" s="4" t="s">
        <v>12</v>
      </c>
      <c r="E19" s="4">
        <v>47342</v>
      </c>
      <c r="F19" s="4" t="s">
        <v>10</v>
      </c>
      <c r="G19" s="5">
        <v>45773</v>
      </c>
    </row>
    <row r="20" spans="1:7" x14ac:dyDescent="0.35">
      <c r="A20" s="4">
        <v>19</v>
      </c>
      <c r="B20" s="4" t="s">
        <v>28</v>
      </c>
      <c r="C20" s="4" t="s">
        <v>24</v>
      </c>
      <c r="D20" s="4" t="s">
        <v>12</v>
      </c>
      <c r="E20" s="4">
        <v>83883</v>
      </c>
      <c r="F20" s="4" t="s">
        <v>29</v>
      </c>
      <c r="G20" s="5">
        <v>41287</v>
      </c>
    </row>
    <row r="21" spans="1:7" x14ac:dyDescent="0.35">
      <c r="A21" s="4">
        <v>20</v>
      </c>
      <c r="B21" s="4" t="s">
        <v>19</v>
      </c>
      <c r="C21" s="4" t="s">
        <v>8</v>
      </c>
      <c r="D21" s="4" t="s">
        <v>11</v>
      </c>
      <c r="E21" s="4">
        <v>85296</v>
      </c>
      <c r="F21" s="4" t="s">
        <v>16</v>
      </c>
      <c r="G21" s="5">
        <v>42781</v>
      </c>
    </row>
    <row r="22" spans="1:7" x14ac:dyDescent="0.35">
      <c r="A22" s="4">
        <v>21</v>
      </c>
      <c r="B22" s="4" t="s">
        <v>30</v>
      </c>
      <c r="C22" s="4" t="s">
        <v>14</v>
      </c>
      <c r="D22" s="4" t="s">
        <v>27</v>
      </c>
      <c r="E22" s="4">
        <v>60982</v>
      </c>
      <c r="F22" s="4" t="s">
        <v>16</v>
      </c>
      <c r="G22" s="5">
        <v>45775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2.08984375" customWidth="1"/>
  </cols>
  <sheetData>
    <row r="1" spans="1:2" x14ac:dyDescent="0.35">
      <c r="A1" s="14" t="s">
        <v>3</v>
      </c>
      <c r="B1" t="s">
        <v>15</v>
      </c>
    </row>
    <row r="3" spans="1:2" x14ac:dyDescent="0.35">
      <c r="A3" s="14" t="s">
        <v>104</v>
      </c>
      <c r="B3" t="s">
        <v>106</v>
      </c>
    </row>
    <row r="4" spans="1:2" x14ac:dyDescent="0.35">
      <c r="A4" s="15" t="s">
        <v>24</v>
      </c>
      <c r="B4" s="16">
        <v>53416</v>
      </c>
    </row>
    <row r="5" spans="1:2" x14ac:dyDescent="0.35">
      <c r="A5" s="15" t="s">
        <v>20</v>
      </c>
      <c r="B5" s="16">
        <v>288291</v>
      </c>
    </row>
    <row r="6" spans="1:2" x14ac:dyDescent="0.35">
      <c r="A6" s="15" t="s">
        <v>14</v>
      </c>
      <c r="B6" s="16">
        <v>90217</v>
      </c>
    </row>
    <row r="7" spans="1:2" x14ac:dyDescent="0.35">
      <c r="A7" s="15" t="s">
        <v>105</v>
      </c>
      <c r="B7" s="16">
        <v>431924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sqref="A1:G22"/>
    </sheetView>
  </sheetViews>
  <sheetFormatPr defaultRowHeight="14.5" x14ac:dyDescent="0.35"/>
  <cols>
    <col min="1" max="1" width="10.81640625" bestFit="1" customWidth="1"/>
    <col min="2" max="2" width="7.1796875" bestFit="1" customWidth="1"/>
    <col min="3" max="3" width="11.08984375" bestFit="1" customWidth="1"/>
    <col min="4" max="4" width="8.6328125" bestFit="1" customWidth="1"/>
    <col min="5" max="5" width="6.81640625" bestFit="1" customWidth="1"/>
    <col min="6" max="6" width="10.453125" bestFit="1" customWidth="1"/>
    <col min="7" max="7" width="10.54296875" style="6" bestFit="1" customWidth="1"/>
    <col min="10" max="10" width="11.08984375" bestFit="1" customWidth="1"/>
  </cols>
  <sheetData>
    <row r="1" spans="1:14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J1" s="17" t="s">
        <v>81</v>
      </c>
      <c r="K1" s="17"/>
      <c r="L1" s="17"/>
      <c r="M1" s="17"/>
      <c r="N1" s="17"/>
    </row>
    <row r="2" spans="1:14" ht="15.5" x14ac:dyDescent="0.35">
      <c r="A2" s="4">
        <v>1</v>
      </c>
      <c r="B2" s="4" t="s">
        <v>7</v>
      </c>
      <c r="C2" s="4" t="s">
        <v>8</v>
      </c>
      <c r="D2" s="4" t="s">
        <v>9</v>
      </c>
      <c r="E2" s="4">
        <v>43434</v>
      </c>
      <c r="F2" s="4" t="s">
        <v>10</v>
      </c>
      <c r="G2" s="9">
        <v>41196</v>
      </c>
      <c r="L2" s="18" t="s">
        <v>82</v>
      </c>
      <c r="M2" s="19"/>
      <c r="N2" s="19"/>
    </row>
    <row r="3" spans="1:14" x14ac:dyDescent="0.35">
      <c r="A3" s="4">
        <v>2</v>
      </c>
      <c r="B3" s="4" t="str">
        <f>B2</f>
        <v>alice</v>
      </c>
      <c r="C3" s="4" t="s">
        <v>8</v>
      </c>
      <c r="D3" s="4" t="s">
        <v>11</v>
      </c>
      <c r="E3" s="4">
        <v>103563</v>
      </c>
      <c r="F3" s="4" t="s">
        <v>10</v>
      </c>
      <c r="G3" s="9">
        <v>45031</v>
      </c>
      <c r="I3">
        <v>1</v>
      </c>
      <c r="J3" s="1" t="s">
        <v>0</v>
      </c>
      <c r="K3">
        <v>17</v>
      </c>
      <c r="M3">
        <v>17</v>
      </c>
    </row>
    <row r="4" spans="1:14" x14ac:dyDescent="0.35">
      <c r="A4" s="4">
        <v>3</v>
      </c>
      <c r="B4" s="4" t="s">
        <v>7</v>
      </c>
      <c r="C4" s="4" t="s">
        <v>8</v>
      </c>
      <c r="D4" s="4" t="s">
        <v>12</v>
      </c>
      <c r="E4" s="4">
        <v>50379</v>
      </c>
      <c r="F4" s="4" t="s">
        <v>13</v>
      </c>
      <c r="G4" s="9">
        <v>41318</v>
      </c>
      <c r="I4">
        <v>2</v>
      </c>
      <c r="J4" s="1" t="s">
        <v>1</v>
      </c>
      <c r="K4" t="str">
        <f>VLOOKUP($K$3,$A$1:$G$22,I4,0)</f>
        <v>david</v>
      </c>
      <c r="M4" t="str">
        <f>VLOOKUP($M$3,$A$1:$G$22,MATCH(J3:J9,$A$1:$G$1,0),0)</f>
        <v>david</v>
      </c>
    </row>
    <row r="5" spans="1:14" x14ac:dyDescent="0.35">
      <c r="A5" s="4">
        <v>4</v>
      </c>
      <c r="B5" s="4" t="str">
        <f>B4</f>
        <v>alice</v>
      </c>
      <c r="C5" s="4" t="s">
        <v>14</v>
      </c>
      <c r="D5" s="4" t="s">
        <v>15</v>
      </c>
      <c r="E5" s="4">
        <v>90217</v>
      </c>
      <c r="F5" s="4" t="s">
        <v>16</v>
      </c>
      <c r="G5" s="9">
        <v>41162</v>
      </c>
      <c r="I5">
        <v>3</v>
      </c>
      <c r="J5" s="1" t="s">
        <v>2</v>
      </c>
      <c r="K5" t="str">
        <f t="shared" ref="K5:K9" si="0">VLOOKUP($K$3,$A$1:$G$22,I5,0)</f>
        <v>Sales</v>
      </c>
      <c r="M5" t="str">
        <f t="shared" ref="M5:M9" si="1">VLOOKUP($M$3,$A$1:$G$22,MATCH(J4:J10,$A$1:$G$1,0),0)</f>
        <v>Sales</v>
      </c>
    </row>
    <row r="6" spans="1:14" x14ac:dyDescent="0.35">
      <c r="A6" s="4">
        <v>5</v>
      </c>
      <c r="B6" s="4" t="s">
        <v>17</v>
      </c>
      <c r="C6" s="4" t="s">
        <v>18</v>
      </c>
      <c r="D6" s="4" t="s">
        <v>11</v>
      </c>
      <c r="E6" s="4">
        <v>39116</v>
      </c>
      <c r="F6" s="4" t="str">
        <f>F5</f>
        <v>Houston</v>
      </c>
      <c r="G6" s="9">
        <v>42858</v>
      </c>
      <c r="I6">
        <v>4</v>
      </c>
      <c r="J6" s="1" t="s">
        <v>3</v>
      </c>
      <c r="K6" t="str">
        <f t="shared" si="0"/>
        <v>Executive</v>
      </c>
      <c r="M6" t="str">
        <f t="shared" si="1"/>
        <v>Executive</v>
      </c>
    </row>
    <row r="7" spans="1:14" x14ac:dyDescent="0.35">
      <c r="A7" s="4">
        <v>6</v>
      </c>
      <c r="B7" s="4" t="s">
        <v>19</v>
      </c>
      <c r="C7" s="4" t="s">
        <v>20</v>
      </c>
      <c r="D7" s="4" t="s">
        <v>15</v>
      </c>
      <c r="E7" s="4">
        <v>76566</v>
      </c>
      <c r="F7" s="4" t="s">
        <v>13</v>
      </c>
      <c r="G7" s="9">
        <v>41203</v>
      </c>
      <c r="I7">
        <v>5</v>
      </c>
      <c r="J7" s="1" t="s">
        <v>4</v>
      </c>
      <c r="K7">
        <f t="shared" si="0"/>
        <v>97839</v>
      </c>
      <c r="M7">
        <f t="shared" si="1"/>
        <v>97839</v>
      </c>
    </row>
    <row r="8" spans="1:14" x14ac:dyDescent="0.35">
      <c r="A8" s="4">
        <v>7</v>
      </c>
      <c r="B8" s="4" t="s">
        <v>21</v>
      </c>
      <c r="C8" s="4" t="s">
        <v>20</v>
      </c>
      <c r="D8" s="4" t="s">
        <v>15</v>
      </c>
      <c r="E8" s="4">
        <v>113886</v>
      </c>
      <c r="F8" s="4" t="s">
        <v>22</v>
      </c>
      <c r="G8" s="9">
        <v>43838</v>
      </c>
      <c r="I8">
        <v>6</v>
      </c>
      <c r="J8" s="1" t="s">
        <v>5</v>
      </c>
      <c r="K8" t="str">
        <f t="shared" si="0"/>
        <v>New York</v>
      </c>
      <c r="M8" t="str">
        <f t="shared" si="1"/>
        <v>New York</v>
      </c>
    </row>
    <row r="9" spans="1:14" x14ac:dyDescent="0.35">
      <c r="A9" s="4">
        <v>8</v>
      </c>
      <c r="B9" s="4" t="s">
        <v>23</v>
      </c>
      <c r="C9" s="4" t="s">
        <v>24</v>
      </c>
      <c r="D9" s="4" t="s">
        <v>9</v>
      </c>
      <c r="E9" s="4">
        <v>104341</v>
      </c>
      <c r="F9" s="4" t="s">
        <v>13</v>
      </c>
      <c r="G9" s="9">
        <v>42690</v>
      </c>
      <c r="I9">
        <v>7</v>
      </c>
      <c r="J9" s="2" t="s">
        <v>6</v>
      </c>
      <c r="K9" s="6">
        <f t="shared" si="0"/>
        <v>42768</v>
      </c>
      <c r="M9" s="6">
        <f t="shared" si="1"/>
        <v>42768</v>
      </c>
    </row>
    <row r="10" spans="1:14" x14ac:dyDescent="0.35">
      <c r="A10" s="4">
        <v>9</v>
      </c>
      <c r="B10" s="4" t="s">
        <v>25</v>
      </c>
      <c r="C10" s="4" t="s">
        <v>8</v>
      </c>
      <c r="D10" s="4" t="s">
        <v>9</v>
      </c>
      <c r="E10" s="4">
        <v>100644</v>
      </c>
      <c r="F10" s="4" t="s">
        <v>10</v>
      </c>
      <c r="G10" s="9">
        <v>45212</v>
      </c>
      <c r="M10" s="1"/>
    </row>
    <row r="11" spans="1:14" x14ac:dyDescent="0.35">
      <c r="A11" s="4">
        <v>10</v>
      </c>
      <c r="B11" s="4" t="s">
        <v>26</v>
      </c>
      <c r="C11" s="4" t="s">
        <v>24</v>
      </c>
      <c r="D11" s="4" t="s">
        <v>27</v>
      </c>
      <c r="E11" s="4">
        <v>50033</v>
      </c>
      <c r="F11" s="4" t="s">
        <v>16</v>
      </c>
      <c r="G11" s="9">
        <v>41103</v>
      </c>
      <c r="M11" s="2"/>
    </row>
    <row r="12" spans="1:14" x14ac:dyDescent="0.35">
      <c r="A12" s="4">
        <v>11</v>
      </c>
      <c r="B12" s="4" t="s">
        <v>25</v>
      </c>
      <c r="C12" s="4" t="s">
        <v>14</v>
      </c>
      <c r="D12" s="4" t="s">
        <v>27</v>
      </c>
      <c r="E12" s="4">
        <v>45014</v>
      </c>
      <c r="F12" s="4" t="s">
        <v>10</v>
      </c>
      <c r="G12" s="9">
        <v>43415</v>
      </c>
    </row>
    <row r="13" spans="1:14" x14ac:dyDescent="0.35">
      <c r="A13" s="4">
        <v>12</v>
      </c>
      <c r="B13" s="4" t="s">
        <v>28</v>
      </c>
      <c r="C13" s="4" t="s">
        <v>24</v>
      </c>
      <c r="D13" s="4" t="s">
        <v>15</v>
      </c>
      <c r="E13" s="4">
        <v>53416</v>
      </c>
      <c r="F13" s="4" t="s">
        <v>29</v>
      </c>
      <c r="G13" s="9">
        <v>43786</v>
      </c>
    </row>
    <row r="14" spans="1:14" x14ac:dyDescent="0.35">
      <c r="A14" s="4">
        <v>13</v>
      </c>
      <c r="B14" s="4" t="s">
        <v>26</v>
      </c>
      <c r="C14" s="4" t="s">
        <v>8</v>
      </c>
      <c r="D14" s="4" t="s">
        <v>11</v>
      </c>
      <c r="E14" s="4">
        <v>99514</v>
      </c>
      <c r="F14" s="4" t="s">
        <v>10</v>
      </c>
      <c r="G14" s="9">
        <v>44044</v>
      </c>
    </row>
    <row r="15" spans="1:14" x14ac:dyDescent="0.35">
      <c r="A15" s="4">
        <v>14</v>
      </c>
      <c r="B15" s="4" t="s">
        <v>23</v>
      </c>
      <c r="C15" s="4" t="s">
        <v>18</v>
      </c>
      <c r="D15" s="4" t="s">
        <v>9</v>
      </c>
      <c r="E15" s="4">
        <v>104364</v>
      </c>
      <c r="F15" s="4" t="s">
        <v>29</v>
      </c>
      <c r="G15" s="9">
        <v>45713</v>
      </c>
    </row>
    <row r="16" spans="1:14" x14ac:dyDescent="0.35">
      <c r="A16" s="4">
        <v>15</v>
      </c>
      <c r="B16" s="4" t="s">
        <v>26</v>
      </c>
      <c r="C16" s="4" t="s">
        <v>20</v>
      </c>
      <c r="D16" s="4" t="s">
        <v>11</v>
      </c>
      <c r="E16" s="4">
        <v>99163</v>
      </c>
      <c r="F16" s="4" t="s">
        <v>16</v>
      </c>
      <c r="G16" s="9">
        <v>42638</v>
      </c>
    </row>
    <row r="17" spans="1:7" x14ac:dyDescent="0.35">
      <c r="A17" s="4">
        <v>16</v>
      </c>
      <c r="B17" s="4" t="s">
        <v>21</v>
      </c>
      <c r="C17" s="4" t="s">
        <v>20</v>
      </c>
      <c r="D17" s="4" t="s">
        <v>15</v>
      </c>
      <c r="E17" s="4">
        <v>97839</v>
      </c>
      <c r="F17" s="4" t="s">
        <v>22</v>
      </c>
      <c r="G17" s="9">
        <v>42777</v>
      </c>
    </row>
    <row r="18" spans="1:7" x14ac:dyDescent="0.35">
      <c r="A18" s="4">
        <v>17</v>
      </c>
      <c r="B18" s="4" t="str">
        <f>B17</f>
        <v>david</v>
      </c>
      <c r="C18" s="4" t="s">
        <v>14</v>
      </c>
      <c r="D18" s="4" t="s">
        <v>9</v>
      </c>
      <c r="E18" s="4">
        <f>E17</f>
        <v>97839</v>
      </c>
      <c r="F18" s="4" t="s">
        <v>29</v>
      </c>
      <c r="G18" s="9">
        <v>42768</v>
      </c>
    </row>
    <row r="19" spans="1:7" x14ac:dyDescent="0.35">
      <c r="A19" s="4">
        <v>18</v>
      </c>
      <c r="B19" s="4" t="s">
        <v>19</v>
      </c>
      <c r="C19" s="4" t="s">
        <v>18</v>
      </c>
      <c r="D19" s="4" t="s">
        <v>12</v>
      </c>
      <c r="E19" s="4">
        <v>47342</v>
      </c>
      <c r="F19" s="4" t="s">
        <v>10</v>
      </c>
      <c r="G19" s="9">
        <v>45773</v>
      </c>
    </row>
    <row r="20" spans="1:7" x14ac:dyDescent="0.35">
      <c r="A20" s="4">
        <v>19</v>
      </c>
      <c r="B20" s="4" t="s">
        <v>28</v>
      </c>
      <c r="C20" s="4" t="s">
        <v>24</v>
      </c>
      <c r="D20" s="4" t="s">
        <v>12</v>
      </c>
      <c r="E20" s="4">
        <v>83883</v>
      </c>
      <c r="F20" s="4" t="s">
        <v>29</v>
      </c>
      <c r="G20" s="9">
        <v>41287</v>
      </c>
    </row>
    <row r="21" spans="1:7" x14ac:dyDescent="0.35">
      <c r="A21" s="4">
        <v>20</v>
      </c>
      <c r="B21" s="4" t="s">
        <v>19</v>
      </c>
      <c r="C21" s="4" t="s">
        <v>8</v>
      </c>
      <c r="D21" s="4" t="s">
        <v>11</v>
      </c>
      <c r="E21" s="4">
        <v>85296</v>
      </c>
      <c r="F21" s="4" t="s">
        <v>16</v>
      </c>
      <c r="G21" s="9">
        <v>42781</v>
      </c>
    </row>
    <row r="22" spans="1:7" x14ac:dyDescent="0.35">
      <c r="A22" s="4">
        <v>21</v>
      </c>
      <c r="B22" s="4" t="s">
        <v>30</v>
      </c>
      <c r="C22" s="4" t="s">
        <v>14</v>
      </c>
      <c r="D22" s="4" t="s">
        <v>27</v>
      </c>
      <c r="E22" s="4">
        <v>60982</v>
      </c>
      <c r="F22" s="4" t="s">
        <v>16</v>
      </c>
      <c r="G22" s="9">
        <v>45775</v>
      </c>
    </row>
  </sheetData>
  <mergeCells count="2">
    <mergeCell ref="J1:N1"/>
    <mergeCell ref="L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Data_Cleaning</vt:lpstr>
      <vt:lpstr>Concat_Data</vt:lpstr>
      <vt:lpstr>Conditional_Formatting</vt:lpstr>
      <vt:lpstr>Split_Data</vt:lpstr>
      <vt:lpstr>SplitData_Formula</vt:lpstr>
      <vt:lpstr>SUMIF_COUNTIF</vt:lpstr>
      <vt:lpstr>Sheet1</vt:lpstr>
      <vt:lpstr>VLookup_Value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SMG</dc:creator>
  <cp:lastModifiedBy>SMG</cp:lastModifiedBy>
  <dcterms:created xsi:type="dcterms:W3CDTF">2025-10-24T13:38:12Z</dcterms:created>
  <dcterms:modified xsi:type="dcterms:W3CDTF">2025-11-26T15:51:35Z</dcterms:modified>
</cp:coreProperties>
</file>